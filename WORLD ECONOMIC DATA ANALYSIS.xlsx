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MADINA COMPUTER\Downloads\"/>
    </mc:Choice>
  </mc:AlternateContent>
  <xr:revisionPtr revIDLastSave="0" documentId="13_ncr:1_{ED5D209C-0B18-454A-9A75-BEE3BC2ABF4C}" xr6:coauthVersionLast="47" xr6:coauthVersionMax="47" xr10:uidLastSave="{00000000-0000-0000-0000-000000000000}"/>
  <bookViews>
    <workbookView xWindow="-108" yWindow="-108" windowWidth="23256" windowHeight="12456" activeTab="5" xr2:uid="{00000000-000D-0000-FFFF-FFFF00000000}"/>
  </bookViews>
  <sheets>
    <sheet name="Data" sheetId="1" r:id="rId1"/>
    <sheet name="Series - Metadata" sheetId="2" r:id="rId2"/>
    <sheet name="Table1" sheetId="3" r:id="rId3"/>
    <sheet name="PIVOTS" sheetId="5" r:id="rId4"/>
    <sheet name="Analysis" sheetId="4" r:id="rId5"/>
    <sheet name="Dashboard" sheetId="8" r:id="rId6"/>
  </sheets>
  <definedNames>
    <definedName name="ExternalData_1" localSheetId="2" hidden="1">Table1!$A$1:$F$1601</definedName>
    <definedName name="Slicer_Country_Nam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 i="4" l="1"/>
  <c r="C10" i="4"/>
  <c r="C11" i="4"/>
  <c r="C12" i="4"/>
  <c r="C13" i="4"/>
  <c r="C14" i="4"/>
  <c r="C15" i="4"/>
  <c r="C16" i="4"/>
  <c r="C17" i="4"/>
  <c r="C8" i="4"/>
  <c r="B9" i="4"/>
  <c r="B10" i="4"/>
  <c r="B11" i="4"/>
  <c r="B12" i="4"/>
  <c r="B13" i="4"/>
  <c r="B14" i="4"/>
  <c r="B15" i="4"/>
  <c r="B16" i="4"/>
  <c r="B17" i="4"/>
  <c r="B8" i="4"/>
  <c r="E4"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D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6883F1-D0DD-44C8-A230-D9CE8FEA066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<sst xmlns="http://schemas.openxmlformats.org/spreadsheetml/2006/main" count="8916" uniqueCount="202">
  <si>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</si>
  <si>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</si>
  <si>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</si>
  <si>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</si>
  <si>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Economic Policy &amp; Debt: National accounts: US$ at current prices: Aggregate indicators</t>
  </si>
  <si>
    <t>2019 [YR2019]</t>
  </si>
  <si>
    <t>https://datacatalog.worldbank.org/int/public-licenses#cc-by</t>
  </si>
  <si>
    <t>2025 [YR2025]</t>
  </si>
  <si>
    <t>Country official statistics, National Statistical Offices (NSOs);
National Accounts data files, Central Banks;
Staff estimates, World Bank (WB)</t>
  </si>
  <si>
    <t>Japan</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</si>
  <si>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</si>
  <si>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</si>
  <si>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2014 [YR2014]</t>
  </si>
  <si>
    <t>Foreign direct investment, net inflows (BoP, current US$)</t>
  </si>
  <si>
    <t>NE.IMP.GNFS.ZS</t>
  </si>
  <si>
    <t>2020 [YR2020]</t>
  </si>
  <si>
    <t>Gap-filled total</t>
  </si>
  <si>
    <t>FR.INR.LEND</t>
  </si>
  <si>
    <t>International Financial Statistics database, International Monetary Fund (IMF)</t>
  </si>
  <si>
    <t>Relevance to gender indicator: disaggregating the population composition by gender will help a country in projecting its demand for social services on a gender basis.</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</si>
  <si>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</si>
  <si>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United Kingdom</t>
  </si>
  <si>
    <t>National estimates are also available in the WDI database. Caution should be used when comparing ILO estimates with national estimates.</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</si>
  <si>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</si>
  <si>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</si>
  <si>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GDP (current US$)</t>
  </si>
  <si>
    <t>ILO Modelled Estimates database (ILOEST), International Labour Organization (ILO), uri: https://ilostat.ilo.org/data/bulk/, publisher: ILOSTAT, type: external database, date accessed: January 17, 2026</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</si>
  <si>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</si>
  <si>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</si>
  <si>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Health: Population: Structure</t>
  </si>
  <si>
    <t>CHN</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</si>
  <si>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</si>
  <si>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</si>
  <si>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</si>
  <si>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Lending interest rate (%)</t>
  </si>
  <si>
    <t>Code</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</si>
  <si>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</si>
  <si>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</si>
  <si>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2016 [YR2016]</t>
  </si>
  <si>
    <t>Pakistan</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</si>
  <si>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</si>
  <si>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</si>
  <si>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1991-2025</t>
  </si>
  <si>
    <t>2011 [YR2011]</t>
  </si>
  <si>
    <t>China</t>
  </si>
  <si>
    <t>Social Protection &amp; Labor: Unemployment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</si>
  <si>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</si>
  <si>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IND</t>
  </si>
  <si>
    <t>Sum</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</si>
  <si>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</si>
  <si>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JPN</t>
  </si>
  <si>
    <t>Economic Policy &amp; Debt: National accounts: Growth rates</t>
  </si>
  <si>
    <t>India</t>
  </si>
  <si>
    <t>Series Code</t>
  </si>
  <si>
    <t>Data from database: World Development Indicators</t>
  </si>
  <si>
    <t>Country Name</t>
  </si>
  <si>
    <t>Imports of goods and services (% of GDP)</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</si>
  <si>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</si>
  <si>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</si>
  <si>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</si>
  <si>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License URL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</si>
  <si>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</si>
  <si>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Periodicity</t>
  </si>
  <si>
    <t>Other notes</t>
  </si>
  <si>
    <t>2018 [YR2018]</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</si>
  <si>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t>
  </si>
  <si>
    <t>2024 [YR2024]</t>
  </si>
  <si>
    <t>GDP growth (annual %)</t>
  </si>
  <si>
    <t>%</t>
  </si>
  <si>
    <t>2013 [YR2013]</t>
  </si>
  <si>
    <t>Exports of goods and services (% of GDP)</t>
  </si>
  <si>
    <t>Note: Data starting from 2005 are based on the sixth edition of the IMF's Balance of Payments Manual (BPM6).</t>
  </si>
  <si>
    <t>PA.NUS.FCRF</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</si>
  <si>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</si>
  <si>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</si>
  <si>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GBR</t>
  </si>
  <si>
    <t>PAK</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</si>
  <si>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</si>
  <si>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</si>
  <si>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Inflation, consumer prices (annual %)</t>
  </si>
  <si>
    <t>Last Updated: 07/13/2026</t>
  </si>
  <si>
    <t>Unit of measure</t>
  </si>
  <si>
    <t>LCU per US$</t>
  </si>
  <si>
    <t>Official exchange rate (LCU per US$, period average)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</si>
  <si>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</si>
  <si>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</si>
  <si>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</si>
  <si>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License Type</t>
  </si>
  <si>
    <t>Long definition</t>
  </si>
  <si>
    <t>NY.GDP.MKTP.CD</t>
  </si>
  <si>
    <t>1960-2025</t>
  </si>
  <si>
    <t>FP.CPI.TOTL.ZG</t>
  </si>
  <si>
    <t>MYS</t>
  </si>
  <si>
    <t>Median</t>
  </si>
  <si>
    <t>United States</t>
  </si>
  <si>
    <t>2015 [YR2015]</t>
  </si>
  <si>
    <t>2021 [YR2021]</t>
  </si>
  <si>
    <t>USA</t>
  </si>
  <si>
    <t>Malaysia</t>
  </si>
  <si>
    <t>Economic Policy &amp; Debt: National accounts: Shares of GDP &amp; other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</si>
  <si>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</si>
  <si>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</si>
  <si>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Indonesia</t>
  </si>
  <si>
    <t>WB_WDI</t>
  </si>
  <si>
    <t>2010 [YR2010]</t>
  </si>
  <si>
    <t>GDP (annual % growth)</t>
  </si>
  <si>
    <t>SP.POP.TOTL</t>
  </si>
  <si>
    <t>Population, total</t>
  </si>
  <si>
    <t>Series Name</t>
  </si>
  <si>
    <t>1970-2025</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</si>
  <si>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</si>
  <si>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DEU</t>
  </si>
  <si>
    <t>Development relevance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</si>
  <si>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</si>
  <si>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Total population is based on the de facto definition of population, which counts all residents regardless of legal status or citizenship. The values shown are midyear estimates.</t>
  </si>
  <si>
    <t>% of total labor force</t>
  </si>
  <si>
    <t>Australia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</si>
  <si>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</si>
  <si>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</si>
  <si>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</si>
  <si>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current US$</t>
  </si>
  <si>
    <t>Weighted average</t>
  </si>
  <si>
    <t>Aggregation method</t>
  </si>
  <si>
    <t>BX.KLT.DINV.CD.WD</t>
  </si>
  <si>
    <t>Inflation as measured by the consumer price index reflects the annual percentage change in the cost to the average consumer of acquiring a basket of goods and services that may be fixed or changed at specified intervals, such as yearly.</t>
  </si>
  <si>
    <t>2017 [YR2017]</t>
  </si>
  <si>
    <t>CC BY-4.0</t>
  </si>
  <si>
    <t>2023 [YR2023]</t>
  </si>
  <si>
    <t>Financial Sector: Interest rates</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</si>
  <si>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</si>
  <si>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</si>
  <si>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SL.UEM.TOTL.ZS</t>
  </si>
  <si>
    <t>2012 [YR2012]</t>
  </si>
  <si>
    <t>Dataset</t>
  </si>
  <si>
    <t>Reference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</si>
  <si>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</si>
  <si>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</si>
  <si>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1961-2025</t>
  </si>
  <si>
    <t>AUS</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</si>
  <si>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</si>
  <si>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</si>
  <si>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Inflation, consumer prices (annual % growth)</t>
  </si>
  <si>
    <t>Statistical concept and methodology</t>
  </si>
  <si>
    <t>IDN</t>
  </si>
  <si>
    <t>Unit</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</si>
  <si>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</si>
  <si>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Unemployment, total (% of total labor force) (modeled ILO estimate)</t>
  </si>
  <si>
    <t>NE.EXP.GNFS.ZS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</si>
  <si>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</si>
  <si>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Germany</t>
  </si>
  <si>
    <t>Years</t>
  </si>
  <si>
    <t>Value</t>
  </si>
  <si>
    <t>2010</t>
  </si>
  <si>
    <t>2011</t>
  </si>
  <si>
    <t>2012</t>
  </si>
  <si>
    <t>2013</t>
  </si>
  <si>
    <t>2014</t>
  </si>
  <si>
    <t>2015</t>
  </si>
  <si>
    <t>2016</t>
  </si>
  <si>
    <t>2017</t>
  </si>
  <si>
    <t>2018</t>
  </si>
  <si>
    <t>2019</t>
  </si>
  <si>
    <t>2020</t>
  </si>
  <si>
    <t>2021</t>
  </si>
  <si>
    <t>2022</t>
  </si>
  <si>
    <t>2023</t>
  </si>
  <si>
    <t>2024</t>
  </si>
  <si>
    <t>2025</t>
  </si>
  <si>
    <t>country</t>
  </si>
  <si>
    <t>year</t>
  </si>
  <si>
    <t>indicator</t>
  </si>
  <si>
    <t>value</t>
  </si>
  <si>
    <t>Country &amp; Year Lookup</t>
  </si>
  <si>
    <t>Look Up</t>
  </si>
  <si>
    <t>Lookuup</t>
  </si>
  <si>
    <t>Country Comparision</t>
  </si>
  <si>
    <t>Average GDP Growth (2010–2025)</t>
  </si>
  <si>
    <t>Country</t>
  </si>
  <si>
    <t>Row Labels</t>
  </si>
  <si>
    <t>Grand Total</t>
  </si>
  <si>
    <t>(All)</t>
  </si>
  <si>
    <t>Average of Average GDP Growth (2010–2025)</t>
  </si>
  <si>
    <t>Sum of Value</t>
  </si>
  <si>
    <t>Average of Value</t>
  </si>
  <si>
    <t>Years GDP Growth &gt; 5%</t>
  </si>
  <si>
    <t>Column1</t>
  </si>
  <si>
    <t>Column2</t>
  </si>
  <si>
    <t>Column3</t>
  </si>
  <si>
    <t>Column Labels</t>
  </si>
  <si>
    <r>
      <t>Average GDP Growth by Country</t>
    </r>
    <r>
      <rPr>
        <sz val="11"/>
        <color theme="1"/>
        <rFont val="Calibri"/>
        <family val="2"/>
        <scheme val="minor"/>
      </rPr>
      <t xml:space="preserve"> → comparison</t>
    </r>
  </si>
  <si>
    <t>GDP Growth by Year</t>
  </si>
  <si>
    <r>
      <t>Country × Indicator</t>
    </r>
    <r>
      <rPr>
        <sz val="11"/>
        <color theme="1"/>
        <rFont val="Calibri"/>
        <family val="2"/>
        <scheme val="minor"/>
      </rPr>
      <t xml:space="preserve"> → overall economic summary</t>
    </r>
  </si>
  <si>
    <r>
      <t>GDP by Country &amp; Year</t>
    </r>
    <r>
      <rPr>
        <sz val="11"/>
        <color theme="1"/>
        <rFont val="Calibri"/>
        <family val="2"/>
        <scheme val="minor"/>
      </rPr>
      <t xml:space="preserve"> → GDP comparison</t>
    </r>
  </si>
  <si>
    <r>
      <t>Average Inflation by Country</t>
    </r>
    <r>
      <rPr>
        <sz val="11"/>
        <color theme="1"/>
        <rFont val="Calibri"/>
        <family val="2"/>
        <scheme val="minor"/>
      </rPr>
      <t xml:space="preserve"> → inflation comparison</t>
    </r>
  </si>
  <si>
    <t>GDP Growth vs Inflation</t>
  </si>
  <si>
    <t>GLOBAL ECONOMIC ANALYSIS DASHBOARD</t>
  </si>
  <si>
    <t>Countries Analyzed</t>
  </si>
  <si>
    <t>Years Covered</t>
  </si>
  <si>
    <t>2010–2025</t>
  </si>
  <si>
    <t>Indicator</t>
  </si>
  <si>
    <t>World Bank Data | 2010–2025</t>
  </si>
  <si>
    <t>FILTER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</si>
</sst>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4"/>
      <color theme="1"/>
      <name val="Calibri"/>
      <family val="2"/>
      <scheme val="minor"/>
    </font>
    <font>
      <sz val="16"/>
      <color theme="0"/>
      <name val="Algerian"/>
      <family val="5"/>
    </font>
    <font>
      <b/>
      <sz val="11"/>
      <color theme="0"/>
      <name val="Baskerville Old Face"/>
      <family val="1"/>
    </font>
    <font>
      <b/>
      <sz val="20"/>
      <color theme="0"/>
      <name val="Baskerville Old Face"/>
      <family val="1"/>
    </font>
    <font>
      <b/>
      <sz val="12"/>
      <color theme="0"/>
      <name val="Baskerville Old Face"/>
      <family val="1"/>
    </font>
    <font>
      <sz val="28"/>
      <color theme="0"/>
      <name val="Algerian"/>
      <family val="5"/>
    </font>
  </fonts>
  <fills count="6">
    <fill>
      <patternFill patternType="none"/>
    </fill>
    <fill>
      <patternFill patternType="gray125"/>
    </fill>
    <fill>
      <patternFill patternType="solid">
        <fgColor theme="7" tint="0.79998168889431442"/>
        <bgColor theme="7" tint="0.79998168889431442"/>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s>
  <borders count="11">
    <border>
      <left/>
      <right/>
      <top/>
      <bottom/>
      <diagonal/>
    </border>
    <border>
      <left/>
      <right/>
      <top style="thin">
        <color theme="7" tint="0.39997558519241921"/>
      </top>
      <bottom style="thin">
        <color theme="7"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s>
  <cellStyleXfs count="1">
    <xf numFmtId="0" fontId="0" fillId="0" borderId="0"/>
  </cellStyleXfs>
  <cellXfs count="28">
    <xf numFmtId="0" fontId="0" fillId="0" borderId="0" xfId="0"/>
    <xf numFmtId="49" fontId="0" fillId="0" borderId="0" xfId="0" applyNumberFormat="1"/>
    <xf numFmtId="0" fontId="0" fillId="0" borderId="0" xfId="0" applyAlignment="1">
      <alignment horizontal="center" vertical="center"/>
    </xf>
    <xf numFmtId="0" fontId="0" fillId="2" borderId="1" xfId="0" applyFill="1" applyBorder="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NumberFormat="1"/>
    <xf numFmtId="0" fontId="0" fillId="0" borderId="0" xfId="0" applyNumberFormat="1" applyAlignment="1">
      <alignment horizontal="center" vertical="center"/>
    </xf>
    <xf numFmtId="0" fontId="0" fillId="0" borderId="0" xfId="0" applyAlignment="1"/>
    <xf numFmtId="0" fontId="0" fillId="0" borderId="0" xfId="0" applyFill="1"/>
    <xf numFmtId="0" fontId="0" fillId="5" borderId="0" xfId="0" applyFill="1"/>
    <xf numFmtId="0" fontId="4" fillId="3" borderId="2" xfId="0" applyFont="1" applyFill="1" applyBorder="1"/>
    <xf numFmtId="0" fontId="5" fillId="3" borderId="3" xfId="0" applyFont="1" applyFill="1" applyBorder="1"/>
    <xf numFmtId="0" fontId="5" fillId="3" borderId="3" xfId="0" applyFont="1" applyFill="1" applyBorder="1" applyAlignment="1">
      <alignment horizontal="right"/>
    </xf>
    <xf numFmtId="0" fontId="0" fillId="0" borderId="10" xfId="0" applyBorder="1"/>
    <xf numFmtId="0" fontId="2" fillId="3" borderId="10" xfId="0" applyFont="1" applyFill="1" applyBorder="1"/>
    <xf numFmtId="0" fontId="6" fillId="3" borderId="0" xfId="0" applyFont="1" applyFill="1" applyAlignment="1">
      <alignment horizont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7" fillId="4" borderId="0" xfId="0" applyFont="1" applyFill="1" applyBorder="1" applyAlignment="1">
      <alignment horizontal="center"/>
    </xf>
  </cellXfs>
  <cellStyles count="1">
    <cellStyle name="Normal" xfId="0" builtinId="0"/>
  </cellStyles>
  <dxfs count="440">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7" tint="0.79998168889431442"/>
          <bgColor theme="7" tint="0.79998168889431442"/>
        </patternFill>
      </fill>
      <border diagonalUp="0" diagonalDown="0">
        <left/>
        <right/>
        <top style="thin">
          <color theme="7" tint="0.39997558519241921"/>
        </top>
        <bottom style="thin">
          <color theme="7" tint="0.39997558519241921"/>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wrapText="0"/>
    </dxf>
    <dxf>
      <alignment wrapText="0"/>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[WORLD ECONOMIC DATA ANALYSIS.xlsx]PIVOTS!PivotTable1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4">
                    <a:lumMod val="50000"/>
                  </a:schemeClr>
                </a:solidFill>
              </a:rPr>
              <a:t>Growth</a:t>
            </a:r>
            <a:r>
              <a:rPr lang="en-US" baseline="0">
                <a:solidFill>
                  <a:schemeClr val="accent4">
                    <a:lumMod val="50000"/>
                  </a:schemeClr>
                </a:solidFill>
              </a:rPr>
              <a:t> by Country</a:t>
            </a: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PIVOTS!$A$4:$A$14</c:f>
              <c:strCache>
                <c:ptCount val="10"/>
                <c:pt idx="0">
                  <c:v>Australia</c:v>
                </c:pt>
                <c:pt idx="1">
                  <c:v>China</c:v>
                </c:pt>
                <c:pt idx="2">
                  <c:v>Germany</c:v>
                </c:pt>
                <c:pt idx="3">
                  <c:v>India</c:v>
                </c:pt>
                <c:pt idx="4">
                  <c:v>Indonesia</c:v>
                </c:pt>
                <c:pt idx="5">
                  <c:v>Japan</c:v>
                </c:pt>
                <c:pt idx="6">
                  <c:v>Malaysia</c:v>
                </c:pt>
                <c:pt idx="7">
                  <c:v>Pakistan</c:v>
                </c:pt>
                <c:pt idx="8">
                  <c:v>United Kingdom</c:v>
                </c:pt>
                <c:pt idx="9">
                  <c:v>United States</c:v>
                </c:pt>
              </c:strCache>
            </c:strRef>
          </c:cat>
          <c:val>
            <c:numRef>
              <c:f>PIVOTS!$B$4:$B$14</c:f>
              <c:numCache>
                <c:formatCode>General</c:formatCode>
                <c:ptCount val="10"/>
                <c:pt idx="0">
                  <c:v>2.4080295002550001</c:v>
                </c:pt>
                <c:pt idx="1">
                  <c:v>6.6250458075285188</c:v>
                </c:pt>
                <c:pt idx="2">
                  <c:v>1.2619555263781939</c:v>
                </c:pt>
                <c:pt idx="3">
                  <c:v>6.2351407230276816</c:v>
                </c:pt>
                <c:pt idx="4">
                  <c:v>4.7684027362402919</c:v>
                </c:pt>
                <c:pt idx="5">
                  <c:v>0.96429145854166354</c:v>
                </c:pt>
                <c:pt idx="6">
                  <c:v>4.6379377213356126</c:v>
                </c:pt>
                <c:pt idx="7">
                  <c:v>3.4968510104065622</c:v>
                </c:pt>
                <c:pt idx="8">
                  <c:v>1.6301220103457137</c:v>
                </c:pt>
                <c:pt idx="9">
                  <c:v>2.4029443785600435</c:v>
                </c:pt>
              </c:numCache>
            </c:numRef>
          </c:val>
          <c:extLst>
            <c:ext xmlns:c16="http://schemas.microsoft.com/office/drawing/2014/chart" uri="{C3380CC4-5D6E-409C-BE32-E72D297353CC}">
              <c16:uniqueId val="{00000000-DABE-4C57-B8DC-CFD258053479}"/>
            </c:ext>
          </c:extLst>
        </c:ser>
        <c:dLbls>
          <c:showLegendKey val="0"/>
          <c:showVal val="0"/>
          <c:showCatName val="0"/>
          <c:showSerName val="0"/>
          <c:showPercent val="0"/>
          <c:showBubbleSize val="0"/>
        </c:dLbls>
        <c:gapWidth val="100"/>
        <c:overlap val="-24"/>
        <c:axId val="1733713279"/>
        <c:axId val="1733714239"/>
      </c:barChart>
      <c:catAx>
        <c:axId val="173371327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714239"/>
        <c:crosses val="autoZero"/>
        <c:auto val="1"/>
        <c:lblAlgn val="ctr"/>
        <c:lblOffset val="100"/>
        <c:noMultiLvlLbl val="0"/>
      </c:catAx>
      <c:valAx>
        <c:axId val="17337142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71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[WORLD ECONOMIC DATA ANALYSIS.xlsx]PIVOTS!PivotTable3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4">
                    <a:lumMod val="50000"/>
                  </a:schemeClr>
                </a:solidFill>
              </a:rPr>
              <a:t>GDP Growth Trend (2010–2025</a:t>
            </a:r>
            <a:r>
              <a:rPr lang="en-US"/>
              <a:t>)</a:t>
            </a: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PIVOTS!$E$4:$E$20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PIVOTS!$F$4:$F$20</c:f>
              <c:numCache>
                <c:formatCode>General</c:formatCode>
                <c:ptCount val="16"/>
                <c:pt idx="0">
                  <c:v>49.676573002148572</c:v>
                </c:pt>
                <c:pt idx="1">
                  <c:v>37.215373105236168</c:v>
                </c:pt>
                <c:pt idx="2">
                  <c:v>37.727588141279881</c:v>
                </c:pt>
                <c:pt idx="3">
                  <c:v>37.667412063977778</c:v>
                </c:pt>
                <c:pt idx="4">
                  <c:v>41.372338127781944</c:v>
                </c:pt>
                <c:pt idx="5">
                  <c:v>39.876960399068039</c:v>
                </c:pt>
                <c:pt idx="6">
                  <c:v>40.795504052515028</c:v>
                </c:pt>
                <c:pt idx="7">
                  <c:v>41.197268948010802</c:v>
                </c:pt>
                <c:pt idx="8">
                  <c:v>38.742584918937553</c:v>
                </c:pt>
                <c:pt idx="9">
                  <c:v>28.572306175487469</c:v>
                </c:pt>
                <c:pt idx="10">
                  <c:v>-32.912665090456471</c:v>
                </c:pt>
                <c:pt idx="11">
                  <c:v>55.968375596668352</c:v>
                </c:pt>
                <c:pt idx="12">
                  <c:v>44.928129646955156</c:v>
                </c:pt>
                <c:pt idx="13">
                  <c:v>27.438158966760113</c:v>
                </c:pt>
                <c:pt idx="14">
                  <c:v>29.788315579148616</c:v>
                </c:pt>
                <c:pt idx="15">
                  <c:v>32.837310328389506</c:v>
                </c:pt>
              </c:numCache>
            </c:numRef>
          </c:val>
          <c:smooth val="0"/>
          <c:extLst>
            <c:ext xmlns:c16="http://schemas.microsoft.com/office/drawing/2014/chart" uri="{C3380CC4-5D6E-409C-BE32-E72D297353CC}">
              <c16:uniqueId val="{00000000-00CC-4B9F-8CEF-EF9FCE346ACA}"/>
            </c:ext>
          </c:extLst>
        </c:ser>
        <c:dLbls>
          <c:showLegendKey val="0"/>
          <c:showVal val="0"/>
          <c:showCatName val="0"/>
          <c:showSerName val="0"/>
          <c:showPercent val="0"/>
          <c:showBubbleSize val="0"/>
        </c:dLbls>
        <c:marker val="1"/>
        <c:smooth val="0"/>
        <c:axId val="871592207"/>
        <c:axId val="871592687"/>
      </c:lineChart>
      <c:catAx>
        <c:axId val="871592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92687"/>
        <c:crosses val="autoZero"/>
        <c:auto val="1"/>
        <c:lblAlgn val="ctr"/>
        <c:lblOffset val="100"/>
        <c:noMultiLvlLbl val="0"/>
      </c:catAx>
      <c:valAx>
        <c:axId val="87159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59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[WORLD ECONOMIC DATA ANALYSIS.xlsx]PIVOTS!PivotTable5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4">
                    <a:lumMod val="50000"/>
                  </a:schemeClr>
                </a:solidFill>
              </a:rPr>
              <a:t>GDP by Country — 2025</a:t>
            </a:r>
          </a:p>
        </c:rich>
      </c:tx>
      <c:layout>
        <c:manualLayout>
          <c:xMode val="edge"/>
          <c:yMode val="edge"/>
          <c:x val="0.36386467439601544"/>
          <c:y val="5.8143773694954798E-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82280364560728"/>
          <c:y val="0.20670858850976961"/>
          <c:w val="0.6193386653439974"/>
          <c:h val="0.58772054534849816"/>
        </c:manualLayout>
      </c:layout>
      <c:barChart>
        <c:barDir val="bar"/>
        <c:grouping val="clustered"/>
        <c:varyColors val="0"/>
        <c:ser>
          <c:idx val="0"/>
          <c:order val="0"/>
          <c:tx>
            <c:strRef>
              <c:f>PIVOTS!$M$3:$M$4</c:f>
              <c:strCache>
                <c:ptCount val="1"/>
                <c:pt idx="0">
                  <c:v>2025</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PIVOTS!$L$5:$L$15</c:f>
              <c:strCache>
                <c:ptCount val="10"/>
                <c:pt idx="0">
                  <c:v>Australia</c:v>
                </c:pt>
                <c:pt idx="1">
                  <c:v>China</c:v>
                </c:pt>
                <c:pt idx="2">
                  <c:v>Germany</c:v>
                </c:pt>
                <c:pt idx="3">
                  <c:v>India</c:v>
                </c:pt>
                <c:pt idx="4">
                  <c:v>Indonesia</c:v>
                </c:pt>
                <c:pt idx="5">
                  <c:v>Japan</c:v>
                </c:pt>
                <c:pt idx="6">
                  <c:v>Malaysia</c:v>
                </c:pt>
                <c:pt idx="7">
                  <c:v>Pakistan</c:v>
                </c:pt>
                <c:pt idx="8">
                  <c:v>United Kingdom</c:v>
                </c:pt>
                <c:pt idx="9">
                  <c:v>United States</c:v>
                </c:pt>
              </c:strCache>
            </c:strRef>
          </c:cat>
          <c:val>
            <c:numRef>
              <c:f>PIVOTS!$M$5:$M$15</c:f>
              <c:numCache>
                <c:formatCode>General</c:formatCode>
                <c:ptCount val="10"/>
                <c:pt idx="0">
                  <c:v>1798518933689.2104</c:v>
                </c:pt>
                <c:pt idx="1">
                  <c:v>19498039388042.609</c:v>
                </c:pt>
                <c:pt idx="2">
                  <c:v>5050922925047.0518</c:v>
                </c:pt>
                <c:pt idx="3">
                  <c:v>3956067115771.6313</c:v>
                </c:pt>
                <c:pt idx="4">
                  <c:v>1445642584163.8086</c:v>
                </c:pt>
                <c:pt idx="5">
                  <c:v>4435162999976.9414</c:v>
                </c:pt>
                <c:pt idx="6">
                  <c:v>472193128644.59729</c:v>
                </c:pt>
                <c:pt idx="7">
                  <c:v>407307214476.22186</c:v>
                </c:pt>
                <c:pt idx="8">
                  <c:v>4002587541846.0146</c:v>
                </c:pt>
                <c:pt idx="9">
                  <c:v>30769700000000</c:v>
                </c:pt>
              </c:numCache>
            </c:numRef>
          </c:val>
          <c:extLst>
            <c:ext xmlns:c16="http://schemas.microsoft.com/office/drawing/2014/chart" uri="{C3380CC4-5D6E-409C-BE32-E72D297353CC}">
              <c16:uniqueId val="{00000000-42D3-435C-9F33-0843323E81A9}"/>
            </c:ext>
          </c:extLst>
        </c:ser>
        <c:dLbls>
          <c:showLegendKey val="0"/>
          <c:showVal val="0"/>
          <c:showCatName val="0"/>
          <c:showSerName val="0"/>
          <c:showPercent val="0"/>
          <c:showBubbleSize val="0"/>
        </c:dLbls>
        <c:gapWidth val="115"/>
        <c:overlap val="-20"/>
        <c:axId val="1146833967"/>
        <c:axId val="1146832527"/>
      </c:barChart>
      <c:catAx>
        <c:axId val="1146833967"/>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32527"/>
        <c:crosses val="autoZero"/>
        <c:auto val="1"/>
        <c:lblAlgn val="ctr"/>
        <c:lblOffset val="100"/>
        <c:noMultiLvlLbl val="0"/>
      </c:catAx>
      <c:valAx>
        <c:axId val="114683252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ECONOMIC DATA ANALYSIS.xlsx]PIVOTS!PivotTable9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4">
                    <a:lumMod val="50000"/>
                  </a:schemeClr>
                </a:solidFill>
              </a:rPr>
              <a:t>Average GDP Growth vs Inflation</a:t>
            </a:r>
          </a:p>
          <a:p>
            <a:pPr>
              <a:defRPr/>
            </a:pPr>
            <a:r>
              <a:rPr lang="en-US">
                <a:solidFill>
                  <a:schemeClr val="accent4">
                    <a:lumMod val="50000"/>
                  </a:schemeClr>
                </a:solidFill>
              </a:rPr>
              <a:t> (2010–2025)</a:t>
            </a:r>
          </a:p>
        </c:rich>
      </c:tx>
      <c:layout>
        <c:manualLayout>
          <c:xMode val="edge"/>
          <c:yMode val="edge"/>
          <c:x val="0.54860717658168079"/>
          <c:y val="2.6757072032662588E-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84357550207076E-2"/>
          <c:y val="0.14249781277340332"/>
          <c:w val="0.59355728550928299"/>
          <c:h val="0.594346019247594"/>
        </c:manualLayout>
      </c:layout>
      <c:barChart>
        <c:barDir val="col"/>
        <c:grouping val="clustered"/>
        <c:varyColors val="0"/>
        <c:ser>
          <c:idx val="0"/>
          <c:order val="0"/>
          <c:tx>
            <c:strRef>
              <c:f>PIVOTS!$M$21:$M$22</c:f>
              <c:strCache>
                <c:ptCount val="1"/>
                <c:pt idx="0">
                  <c:v>GDP growth (annual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PIVOTS!$L$23:$L$33</c:f>
              <c:strCache>
                <c:ptCount val="10"/>
                <c:pt idx="0">
                  <c:v>Australia</c:v>
                </c:pt>
                <c:pt idx="1">
                  <c:v>China</c:v>
                </c:pt>
                <c:pt idx="2">
                  <c:v>Germany</c:v>
                </c:pt>
                <c:pt idx="3">
                  <c:v>India</c:v>
                </c:pt>
                <c:pt idx="4">
                  <c:v>Indonesia</c:v>
                </c:pt>
                <c:pt idx="5">
                  <c:v>Japan</c:v>
                </c:pt>
                <c:pt idx="6">
                  <c:v>Malaysia</c:v>
                </c:pt>
                <c:pt idx="7">
                  <c:v>Pakistan</c:v>
                </c:pt>
                <c:pt idx="8">
                  <c:v>United Kingdom</c:v>
                </c:pt>
                <c:pt idx="9">
                  <c:v>United States</c:v>
                </c:pt>
              </c:strCache>
            </c:strRef>
          </c:cat>
          <c:val>
            <c:numRef>
              <c:f>PIVOTS!$M$23:$M$33</c:f>
              <c:numCache>
                <c:formatCode>General</c:formatCode>
                <c:ptCount val="10"/>
                <c:pt idx="0">
                  <c:v>2.4080295002550001</c:v>
                </c:pt>
                <c:pt idx="1">
                  <c:v>6.6250458075285188</c:v>
                </c:pt>
                <c:pt idx="2">
                  <c:v>1.2619555263781939</c:v>
                </c:pt>
                <c:pt idx="3">
                  <c:v>6.2351407230276816</c:v>
                </c:pt>
                <c:pt idx="4">
                  <c:v>4.7684027362402919</c:v>
                </c:pt>
                <c:pt idx="5">
                  <c:v>0.96429145854166354</c:v>
                </c:pt>
                <c:pt idx="6">
                  <c:v>4.6379377213356126</c:v>
                </c:pt>
                <c:pt idx="7">
                  <c:v>3.4968510104065622</c:v>
                </c:pt>
                <c:pt idx="8">
                  <c:v>1.6301220103457137</c:v>
                </c:pt>
                <c:pt idx="9">
                  <c:v>2.4029443785600435</c:v>
                </c:pt>
              </c:numCache>
            </c:numRef>
          </c:val>
          <c:extLst>
            <c:ext xmlns:c16="http://schemas.microsoft.com/office/drawing/2014/chart" uri="{C3380CC4-5D6E-409C-BE32-E72D297353CC}">
              <c16:uniqueId val="{00000000-85E1-4848-8F4D-7145F6AA0CDC}"/>
            </c:ext>
          </c:extLst>
        </c:ser>
        <c:ser>
          <c:idx val="1"/>
          <c:order val="1"/>
          <c:tx>
            <c:strRef>
              <c:f>PIVOTS!$N$21:$N$22</c:f>
              <c:strCache>
                <c:ptCount val="1"/>
                <c:pt idx="0">
                  <c:v>Inflation, consumer prices (annual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PIVOTS!$L$23:$L$33</c:f>
              <c:strCache>
                <c:ptCount val="10"/>
                <c:pt idx="0">
                  <c:v>Australia</c:v>
                </c:pt>
                <c:pt idx="1">
                  <c:v>China</c:v>
                </c:pt>
                <c:pt idx="2">
                  <c:v>Germany</c:v>
                </c:pt>
                <c:pt idx="3">
                  <c:v>India</c:v>
                </c:pt>
                <c:pt idx="4">
                  <c:v>Indonesia</c:v>
                </c:pt>
                <c:pt idx="5">
                  <c:v>Japan</c:v>
                </c:pt>
                <c:pt idx="6">
                  <c:v>Malaysia</c:v>
                </c:pt>
                <c:pt idx="7">
                  <c:v>Pakistan</c:v>
                </c:pt>
                <c:pt idx="8">
                  <c:v>United Kingdom</c:v>
                </c:pt>
                <c:pt idx="9">
                  <c:v>United States</c:v>
                </c:pt>
              </c:strCache>
            </c:strRef>
          </c:cat>
          <c:val>
            <c:numRef>
              <c:f>PIVOTS!$N$23:$N$33</c:f>
              <c:numCache>
                <c:formatCode>General</c:formatCode>
                <c:ptCount val="10"/>
                <c:pt idx="0">
                  <c:v>2.6950930037278402</c:v>
                </c:pt>
                <c:pt idx="1">
                  <c:v>1.9863855555511893</c:v>
                </c:pt>
                <c:pt idx="2">
                  <c:v>2.1094579648367198</c:v>
                </c:pt>
                <c:pt idx="3">
                  <c:v>6.2106448363153932</c:v>
                </c:pt>
                <c:pt idx="4">
                  <c:v>3.9348413060340572</c:v>
                </c:pt>
                <c:pt idx="5">
                  <c:v>1.0048842261162709</c:v>
                </c:pt>
                <c:pt idx="6">
                  <c:v>1.9839580699898904</c:v>
                </c:pt>
                <c:pt idx="7">
                  <c:v>10.094460507739917</c:v>
                </c:pt>
                <c:pt idx="8">
                  <c:v>2.8755292968710902</c:v>
                </c:pt>
                <c:pt idx="9">
                  <c:v>2.5812332196983712</c:v>
                </c:pt>
              </c:numCache>
            </c:numRef>
          </c:val>
          <c:extLst>
            <c:ext xmlns:c16="http://schemas.microsoft.com/office/drawing/2014/chart" uri="{C3380CC4-5D6E-409C-BE32-E72D297353CC}">
              <c16:uniqueId val="{00000001-85E1-4848-8F4D-7145F6AA0CDC}"/>
            </c:ext>
          </c:extLst>
        </c:ser>
        <c:dLbls>
          <c:showLegendKey val="0"/>
          <c:showVal val="0"/>
          <c:showCatName val="0"/>
          <c:showSerName val="0"/>
          <c:showPercent val="0"/>
          <c:showBubbleSize val="0"/>
        </c:dLbls>
        <c:gapWidth val="100"/>
        <c:overlap val="-24"/>
        <c:axId val="1008786863"/>
        <c:axId val="1008787343"/>
      </c:barChart>
      <c:catAx>
        <c:axId val="100878686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87343"/>
        <c:crosses val="autoZero"/>
        <c:auto val="1"/>
        <c:lblAlgn val="ctr"/>
        <c:lblOffset val="100"/>
        <c:noMultiLvlLbl val="0"/>
      </c:catAx>
      <c:valAx>
        <c:axId val="10087873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4</xdr:row>
      <xdr:rowOff>0</xdr:rowOff>
    </xdr:from>
    <xdr:to>
      <xdr:col>7</xdr:col>
      <xdr:colOff>533400</xdr:colOff>
      <xdr:row>19</xdr:row>
      <xdr:rowOff>0</xdr:rowOff>
    </xdr:to>
    <xdr:graphicFrame macro="">
      <xdr:nvGraphicFramePr>
        <xdr:cNvPr id="2" name="Chart 1">
          <a:extLst>
            <a:ext uri="{FF2B5EF4-FFF2-40B4-BE49-F238E27FC236}">
              <a16:creationId xmlns:a16="http://schemas.microsoft.com/office/drawing/2014/main" id="{4F03A092-6EEF-494B-B4A3-B9000250C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220980</xdr:colOff>
      <xdr:row>3</xdr:row>
      <xdr:rowOff>144780</xdr:rowOff>
    </xdr:from>
    <xdr:to>
      <xdr:col>19</xdr:col>
      <xdr:colOff>137160</xdr:colOff>
      <xdr:row>18</xdr:row>
      <xdr:rowOff>144780</xdr:rowOff>
    </xdr:to>
    <xdr:graphicFrame macro="">
      <xdr:nvGraphicFramePr>
        <xdr:cNvPr id="4" name="Chart 3">
          <a:extLst>
            <a:ext uri="{FF2B5EF4-FFF2-40B4-BE49-F238E27FC236}">
              <a16:creationId xmlns:a16="http://schemas.microsoft.com/office/drawing/2014/main" id="{1048EC0C-F9E3-4E23-ACCA-690D97DA7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8</xdr:col>
      <xdr:colOff>571500</xdr:colOff>
      <xdr:row>38</xdr:row>
      <xdr:rowOff>137160</xdr:rowOff>
    </xdr:to>
    <xdr:graphicFrame macro="">
      <xdr:nvGraphicFramePr>
        <xdr:cNvPr id="5" name="Chart 4">
          <a:extLst>
            <a:ext uri="{FF2B5EF4-FFF2-40B4-BE49-F238E27FC236}">
              <a16:creationId xmlns:a16="http://schemas.microsoft.com/office/drawing/2014/main" id="{F0042ED0-98B6-4423-819F-705E11969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304800</xdr:colOff>
      <xdr:row>19</xdr:row>
      <xdr:rowOff>175260</xdr:rowOff>
    </xdr:from>
    <xdr:to>
      <xdr:col>19</xdr:col>
      <xdr:colOff>198120</xdr:colOff>
      <xdr:row>37</xdr:row>
      <xdr:rowOff>175260</xdr:rowOff>
    </xdr:to>
    <xdr:graphicFrame macro="">
      <xdr:nvGraphicFramePr>
        <xdr:cNvPr id="6" name="Chart 5">
          <a:extLst>
            <a:ext uri="{FF2B5EF4-FFF2-40B4-BE49-F238E27FC236}">
              <a16:creationId xmlns:a16="http://schemas.microsoft.com/office/drawing/2014/main" id="{3E0DC630-88D1-43E5-9E33-2BA6C1685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30480</xdr:colOff>
      <xdr:row>8</xdr:row>
      <xdr:rowOff>129540</xdr:rowOff>
    </xdr:from>
    <xdr:to>
      <xdr:col>21</xdr:col>
      <xdr:colOff>1280160</xdr:colOff>
      <xdr:row>25</xdr:row>
      <xdr:rowOff>91440</xdr:rowOff>
    </xdr:to>
    <mc:AlternateContent xmlns:mc="http://schemas.openxmlformats.org/markup-compatibility/2006">
      <mc:Choice xmlns:a14="http://schemas.microsoft.com/office/drawing/2010/main" Requires="a14">
        <xdr:graphicFrame macro="">
          <xdr:nvGraphicFramePr>
            <xdr:cNvPr id="7" name="Country Name">
              <a:extLst>
                <a:ext uri="{FF2B5EF4-FFF2-40B4-BE49-F238E27FC236}">
                  <a16:creationId xmlns:a16="http://schemas.microsoft.com/office/drawing/2014/main" id="{F49046AE-C8B0-4D94-BCAC-75D7C9C4B2C7}"/>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dr:sp macro="" textlink="">
          <xdr:nvSpPr>
            <xdr:cNvPr id="0" name=""/>
            <xdr:cNvSpPr>
              <a:spLocks noTextEdit="1"/>
            </xdr:cNvSpPr>
          </xdr:nvSpPr>
          <xdr:spPr>
            <a:xfrm>
              <a:off x="12222480" y="2551007"/>
              <a:ext cx="2460413" cy="3128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NA COMPUTER" refreshedDate="46297.838823611113" createdVersion="8" refreshedVersion="8" minRefreshableVersion="3" recordCount="10" xr:uid="{0C2A29F4-815B-42C3-85E2-32A87A17539B}">
  <cacheSource type="worksheet">
    <worksheetSource ref="A7:B17" sheet="Analysis"/>
  </cacheSource>
  <cacheFields count="2">
    <cacheField name="Country" numFmtId="0">
      <sharedItems count="10">
        <s v="Pakistan"/>
        <s v="India"/>
        <s v="China"/>
        <s v="Japan"/>
        <s v="Indonesia"/>
        <s v="Malaysia"/>
        <s v="Germany"/>
        <s v="United Kingdom"/>
        <s v="United States"/>
        <s v="Australia"/>
      </sharedItems>
    </cacheField>
    <cacheField name="Average GDP Growth (2010–2025)" numFmtId="0">
      <sharedItems containsSemiMixedTypes="0" containsString="0" containsNumber="1" minValue="0.96429145854166354" maxValue="6.6250458075285188" count="10">
        <n v="3.4968510104065622"/>
        <n v="6.2351407230276816"/>
        <n v="6.6250458075285188"/>
        <n v="0.96429145854166354"/>
        <n v="4.7684027362402919"/>
        <n v="4.6379377213356126"/>
        <n v="1.2619555263781939"/>
        <n v="1.6301220103457137"/>
        <n v="2.4029443785600435"/>
        <n v="2.408029500255000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INA COMPUTER" refreshedDate="46297.84441273148" createdVersion="8" refreshedVersion="8" minRefreshableVersion="3" recordCount="1600" xr:uid="{FD268540-0874-400B-961F-F3EA94EC0CC2}">
  <cacheSource type="worksheet">
    <worksheetSource name="Table1_1"/>
  </cacheSource>
  <cacheFields count="7">
    <cacheField name="Country Name" numFmtId="0">
      <sharedItems count="10">
        <s v="Pakistan"/>
        <s v="India"/>
        <s v="China"/>
        <s v="Japan"/>
        <s v="Indonesia"/>
        <s v="Malaysia"/>
        <s v="Germany"/>
        <s v="United Kingdom"/>
        <s v="United States"/>
        <s v="Australia"/>
      </sharedItems>
    </cacheField>
    <cacheField name="Country Code" numFmtId="0">
      <sharedItems/>
    </cacheField>
    <cacheField name="Series Name" numFmtId="0">
      <sharedItems count="10">
        <s v="GDP (current US$)"/>
        <s v="GDP growth (annual %)"/>
        <s v="Inflation, consumer prices (annual %)"/>
        <s v="Unemployment, total (% of total labor force) (modeled ILO estimate)"/>
        <s v="Lending interest rate (%)"/>
        <s v="Official exchange rate (LCU per US$, period average)"/>
        <s v="Exports of goods and services (% of GDP)"/>
        <s v="Imports of goods and services (% of GDP)"/>
        <s v="Foreign direct investment, net inflows (BoP, current US$)"/>
        <s v="Population, total"/>
      </sharedItems>
    </cacheField>
    <cacheField name="Series Code" numFmtId="0">
      <sharedItems/>
    </cacheField>
    <cacheField name="Years" numFmtId="0">
      <sharedItems count="16">
        <s v="2010"/>
        <s v="2011"/>
        <s v="2012"/>
        <s v="2013"/>
        <s v="2014"/>
        <s v="2015"/>
        <s v="2016"/>
        <s v="2017"/>
        <s v="2018"/>
        <s v="2019"/>
        <s v="2020"/>
        <s v="2021"/>
        <s v="2022"/>
        <s v="2023"/>
        <s v="2024"/>
        <s v="2025"/>
      </sharedItems>
    </cacheField>
    <cacheField name="Value" numFmtId="0">
      <sharedItems containsString="0" containsBlank="1" containsNumber="1" minValue="-25055440306.907299" maxValue="30769700000000"/>
    </cacheField>
    <cacheField name="Look Up" numFmtId="0">
      <sharedItems/>
    </cacheField>
  </cacheFields>
  <extLst>
    <ext xmlns:x14="http://schemas.microsoft.com/office/spreadsheetml/2009/9/main" uri="{725AE2AE-9491-48be-B2B4-4EB974FC3084}">
      <x14:pivotCacheDefinition pivotCacheId="1823683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4"/>
  </r>
  <r>
    <x v="5"/>
    <x v="5"/>
  </r>
  <r>
    <x v="6"/>
    <x v="6"/>
  </r>
  <r>
    <x v="7"/>
    <x v="7"/>
  </r>
  <r>
    <x v="8"/>
    <x v="8"/>
  </r>
  <r>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x v="0"/>
    <s v="PAK"/>
    <x v="0"/>
    <s v="NY.GDP.MKTP.CD"/>
    <x v="0"/>
    <n v="196709621849.58618"/>
    <s v="Pakistan|GDP (current US$)|2010"/>
  </r>
  <r>
    <x v="0"/>
    <s v="PAK"/>
    <x v="0"/>
    <s v="NY.GDP.MKTP.CD"/>
    <x v="1"/>
    <n v="230586581059.66541"/>
    <s v="Pakistan|GDP (current US$)|2011"/>
  </r>
  <r>
    <x v="0"/>
    <s v="PAK"/>
    <x v="0"/>
    <s v="NY.GDP.MKTP.CD"/>
    <x v="2"/>
    <n v="250106966104.70358"/>
    <s v="Pakistan|GDP (current US$)|2012"/>
  </r>
  <r>
    <x v="0"/>
    <s v="PAK"/>
    <x v="0"/>
    <s v="NY.GDP.MKTP.CD"/>
    <x v="3"/>
    <n v="258657231672.41232"/>
    <s v="Pakistan|GDP (current US$)|2013"/>
  </r>
  <r>
    <x v="0"/>
    <s v="PAK"/>
    <x v="0"/>
    <s v="NY.GDP.MKTP.CD"/>
    <x v="4"/>
    <n v="271390474857.63217"/>
    <s v="Pakistan|GDP (current US$)|2014"/>
  </r>
  <r>
    <x v="0"/>
    <s v="PAK"/>
    <x v="0"/>
    <s v="NY.GDP.MKTP.CD"/>
    <x v="5"/>
    <n v="299963590534.7735"/>
    <s v="Pakistan|GDP (current US$)|2015"/>
  </r>
  <r>
    <x v="0"/>
    <s v="PAK"/>
    <x v="0"/>
    <s v="NY.GDP.MKTP.CD"/>
    <x v="6"/>
    <n v="313630000130.43536"/>
    <s v="Pakistan|GDP (current US$)|2016"/>
  </r>
  <r>
    <x v="0"/>
    <s v="PAK"/>
    <x v="0"/>
    <s v="NY.GDP.MKTP.CD"/>
    <x v="7"/>
    <n v="339205534861.1001"/>
    <s v="Pakistan|GDP (current US$)|2017"/>
  </r>
  <r>
    <x v="0"/>
    <s v="PAK"/>
    <x v="0"/>
    <s v="NY.GDP.MKTP.CD"/>
    <x v="8"/>
    <n v="356128166704.92102"/>
    <s v="Pakistan|GDP (current US$)|2018"/>
  </r>
  <r>
    <x v="0"/>
    <s v="PAK"/>
    <x v="0"/>
    <s v="NY.GDP.MKTP.CD"/>
    <x v="9"/>
    <n v="320909472770.6687"/>
    <s v="Pakistan|GDP (current US$)|2019"/>
  </r>
  <r>
    <x v="0"/>
    <s v="PAK"/>
    <x v="0"/>
    <s v="NY.GDP.MKTP.CD"/>
    <x v="10"/>
    <n v="300425609817.9812"/>
    <s v="Pakistan|GDP (current US$)|2020"/>
  </r>
  <r>
    <x v="0"/>
    <s v="PAK"/>
    <x v="0"/>
    <s v="NY.GDP.MKTP.CD"/>
    <x v="11"/>
    <n v="348516647445.14844"/>
    <s v="Pakistan|GDP (current US$)|2021"/>
  </r>
  <r>
    <x v="0"/>
    <s v="PAK"/>
    <x v="0"/>
    <s v="NY.GDP.MKTP.CD"/>
    <x v="12"/>
    <n v="374890295666.69366"/>
    <s v="Pakistan|GDP (current US$)|2022"/>
  </r>
  <r>
    <x v="0"/>
    <s v="PAK"/>
    <x v="0"/>
    <s v="NY.GDP.MKTP.CD"/>
    <x v="13"/>
    <n v="336686348609.26593"/>
    <s v="Pakistan|GDP (current US$)|2023"/>
  </r>
  <r>
    <x v="0"/>
    <s v="PAK"/>
    <x v="0"/>
    <s v="NY.GDP.MKTP.CD"/>
    <x v="14"/>
    <n v="371747087751.30609"/>
    <s v="Pakistan|GDP (current US$)|2024"/>
  </r>
  <r>
    <x v="0"/>
    <s v="PAK"/>
    <x v="0"/>
    <s v="NY.GDP.MKTP.CD"/>
    <x v="15"/>
    <n v="407307214476.22186"/>
    <s v="Pakistan|GDP (current US$)|2025"/>
  </r>
  <r>
    <x v="0"/>
    <s v="PAK"/>
    <x v="1"/>
    <s v="NY.GDP.MKTP.KD.ZG"/>
    <x v="0"/>
    <n v="1.5017175215288319"/>
    <s v="Pakistan|GDP growth (annual %)|2010"/>
  </r>
  <r>
    <x v="0"/>
    <s v="PAK"/>
    <x v="1"/>
    <s v="NY.GDP.MKTP.KD.ZG"/>
    <x v="1"/>
    <n v="2.6801168542170473"/>
    <s v="Pakistan|GDP growth (annual %)|2011"/>
  </r>
  <r>
    <x v="0"/>
    <s v="PAK"/>
    <x v="1"/>
    <s v="NY.GDP.MKTP.KD.ZG"/>
    <x v="2"/>
    <n v="3.0275839108862925"/>
    <s v="Pakistan|GDP growth (annual %)|2012"/>
  </r>
  <r>
    <x v="0"/>
    <s v="PAK"/>
    <x v="1"/>
    <s v="NY.GDP.MKTP.KD.ZG"/>
    <x v="3"/>
    <n v="4.3668650497838684"/>
    <s v="Pakistan|GDP growth (annual %)|2013"/>
  </r>
  <r>
    <x v="0"/>
    <s v="PAK"/>
    <x v="1"/>
    <s v="NY.GDP.MKTP.KD.ZG"/>
    <x v="4"/>
    <n v="4.116428171614217"/>
    <s v="Pakistan|GDP growth (annual %)|2014"/>
  </r>
  <r>
    <x v="0"/>
    <s v="PAK"/>
    <x v="1"/>
    <s v="NY.GDP.MKTP.KD.ZG"/>
    <x v="5"/>
    <n v="4.2179420957250642"/>
    <s v="Pakistan|GDP growth (annual %)|2015"/>
  </r>
  <r>
    <x v="0"/>
    <s v="PAK"/>
    <x v="1"/>
    <s v="NY.GDP.MKTP.KD.ZG"/>
    <x v="6"/>
    <n v="6.5738382851104262"/>
    <s v="Pakistan|GDP growth (annual %)|2016"/>
  </r>
  <r>
    <x v="0"/>
    <s v="PAK"/>
    <x v="1"/>
    <s v="NY.GDP.MKTP.KD.ZG"/>
    <x v="7"/>
    <n v="4.4326259068397462"/>
    <s v="Pakistan|GDP growth (annual %)|2017"/>
  </r>
  <r>
    <x v="0"/>
    <s v="PAK"/>
    <x v="1"/>
    <s v="NY.GDP.MKTP.KD.ZG"/>
    <x v="8"/>
    <n v="6.1517026109951871"/>
    <s v="Pakistan|GDP growth (annual %)|2018"/>
  </r>
  <r>
    <x v="0"/>
    <s v="PAK"/>
    <x v="1"/>
    <s v="NY.GDP.MKTP.KD.ZG"/>
    <x v="9"/>
    <n v="2.4976369294336536"/>
    <s v="Pakistan|GDP growth (annual %)|2019"/>
  </r>
  <r>
    <x v="0"/>
    <s v="PAK"/>
    <x v="1"/>
    <s v="NY.GDP.MKTP.KD.ZG"/>
    <x v="10"/>
    <n v="-1.2740874433870886"/>
    <s v="Pakistan|GDP growth (annual %)|2020"/>
  </r>
  <r>
    <x v="0"/>
    <s v="PAK"/>
    <x v="1"/>
    <s v="NY.GDP.MKTP.KD.ZG"/>
    <x v="11"/>
    <n v="6.5138857585270244"/>
    <s v="Pakistan|GDP growth (annual %)|2021"/>
  </r>
  <r>
    <x v="0"/>
    <s v="PAK"/>
    <x v="1"/>
    <s v="NY.GDP.MKTP.KD.ZG"/>
    <x v="12"/>
    <n v="4.7781068690357955"/>
    <s v="Pakistan|GDP growth (annual %)|2022"/>
  </r>
  <r>
    <x v="0"/>
    <s v="PAK"/>
    <x v="1"/>
    <s v="NY.GDP.MKTP.KD.ZG"/>
    <x v="13"/>
    <n v="-0.41493599708840634"/>
    <s v="Pakistan|GDP growth (annual %)|2023"/>
  </r>
  <r>
    <x v="0"/>
    <s v="PAK"/>
    <x v="1"/>
    <s v="NY.GDP.MKTP.KD.ZG"/>
    <x v="14"/>
    <n v="3.0817629557930104"/>
    <s v="Pakistan|GDP growth (annual %)|2024"/>
  </r>
  <r>
    <x v="0"/>
    <s v="PAK"/>
    <x v="1"/>
    <s v="NY.GDP.MKTP.KD.ZG"/>
    <x v="15"/>
    <n v="3.6984266874903255"/>
    <s v="Pakistan|GDP growth (annual %)|2025"/>
  </r>
  <r>
    <x v="0"/>
    <s v="PAK"/>
    <x v="2"/>
    <s v="FP.CPI.TOTL.ZG"/>
    <x v="0"/>
    <n v="12.938870563488919"/>
    <s v="Pakistan|Inflation, consumer prices (annual %)|2010"/>
  </r>
  <r>
    <x v="0"/>
    <s v="PAK"/>
    <x v="2"/>
    <s v="FP.CPI.TOTL.ZG"/>
    <x v="1"/>
    <n v="11.9160927116277"/>
    <s v="Pakistan|Inflation, consumer prices (annual %)|2011"/>
  </r>
  <r>
    <x v="0"/>
    <s v="PAK"/>
    <x v="2"/>
    <s v="FP.CPI.TOTL.ZG"/>
    <x v="2"/>
    <n v="9.6823518605568388"/>
    <s v="Pakistan|Inflation, consumer prices (annual %)|2012"/>
  </r>
  <r>
    <x v="0"/>
    <s v="PAK"/>
    <x v="2"/>
    <s v="FP.CPI.TOTL.ZG"/>
    <x v="3"/>
    <n v="7.6921561189956469"/>
    <s v="Pakistan|Inflation, consumer prices (annual %)|2013"/>
  </r>
  <r>
    <x v="0"/>
    <s v="PAK"/>
    <x v="2"/>
    <s v="FP.CPI.TOTL.ZG"/>
    <x v="4"/>
    <n v="7.1893840284702764"/>
    <s v="Pakistan|Inflation, consumer prices (annual %)|2014"/>
  </r>
  <r>
    <x v="0"/>
    <s v="PAK"/>
    <x v="2"/>
    <s v="FP.CPI.TOTL.ZG"/>
    <x v="5"/>
    <n v="2.5293281725422858"/>
    <s v="Pakistan|Inflation, consumer prices (annual %)|2015"/>
  </r>
  <r>
    <x v="0"/>
    <s v="PAK"/>
    <x v="2"/>
    <s v="FP.CPI.TOTL.ZG"/>
    <x v="6"/>
    <n v="3.7651191635658048"/>
    <s v="Pakistan|Inflation, consumer prices (annual %)|2016"/>
  </r>
  <r>
    <x v="0"/>
    <s v="PAK"/>
    <x v="2"/>
    <s v="FP.CPI.TOTL.ZG"/>
    <x v="7"/>
    <n v="4.0853736803260796"/>
    <s v="Pakistan|Inflation, consumer prices (annual %)|2017"/>
  </r>
  <r>
    <x v="0"/>
    <s v="PAK"/>
    <x v="2"/>
    <s v="FP.CPI.TOTL.ZG"/>
    <x v="8"/>
    <n v="5.0780572586891681"/>
    <s v="Pakistan|Inflation, consumer prices (annual %)|2018"/>
  </r>
  <r>
    <x v="0"/>
    <s v="PAK"/>
    <x v="2"/>
    <s v="FP.CPI.TOTL.ZG"/>
    <x v="9"/>
    <n v="10.578030567202481"/>
    <s v="Pakistan|Inflation, consumer prices (annual %)|2019"/>
  </r>
  <r>
    <x v="0"/>
    <s v="PAK"/>
    <x v="2"/>
    <s v="FP.CPI.TOTL.ZG"/>
    <x v="10"/>
    <n v="9.7401161932012545"/>
    <s v="Pakistan|Inflation, consumer prices (annual %)|2020"/>
  </r>
  <r>
    <x v="0"/>
    <s v="PAK"/>
    <x v="2"/>
    <s v="FP.CPI.TOTL.ZG"/>
    <x v="11"/>
    <n v="9.4964157728520515"/>
    <s v="Pakistan|Inflation, consumer prices (annual %)|2021"/>
  </r>
  <r>
    <x v="0"/>
    <s v="PAK"/>
    <x v="2"/>
    <s v="FP.CPI.TOTL.ZG"/>
    <x v="12"/>
    <n v="19.873859964665549"/>
    <s v="Pakistan|Inflation, consumer prices (annual %)|2022"/>
  </r>
  <r>
    <x v="0"/>
    <s v="PAK"/>
    <x v="2"/>
    <s v="FP.CPI.TOTL.ZG"/>
    <x v="13"/>
    <n v="30.76812806570052"/>
    <s v="Pakistan|Inflation, consumer prices (annual %)|2023"/>
  </r>
  <r>
    <x v="0"/>
    <s v="PAK"/>
    <x v="2"/>
    <s v="FP.CPI.TOTL.ZG"/>
    <x v="14"/>
    <n v="12.63253185304518"/>
    <s v="Pakistan|Inflation, consumer prices (annual %)|2024"/>
  </r>
  <r>
    <x v="0"/>
    <s v="PAK"/>
    <x v="2"/>
    <s v="FP.CPI.TOTL.ZG"/>
    <x v="15"/>
    <n v="3.5455521489089281"/>
    <s v="Pakistan|Inflation, consumer prices (annual %)|2025"/>
  </r>
  <r>
    <x v="0"/>
    <s v="PAK"/>
    <x v="3"/>
    <s v="SL.UEM.TOTL.ZS"/>
    <x v="0"/>
    <n v="0.65300000000000002"/>
    <s v="Pakistan|Unemployment, total (% of total labor force) (modeled ILO estimate)|2010"/>
  </r>
  <r>
    <x v="0"/>
    <s v="PAK"/>
    <x v="3"/>
    <s v="SL.UEM.TOTL.ZS"/>
    <x v="1"/>
    <n v="0.79600000000000004"/>
    <s v="Pakistan|Unemployment, total (% of total labor force) (modeled ILO estimate)|2011"/>
  </r>
  <r>
    <x v="0"/>
    <s v="PAK"/>
    <x v="3"/>
    <s v="SL.UEM.TOTL.ZS"/>
    <x v="2"/>
    <n v="3.6669999999999998"/>
    <s v="Pakistan|Unemployment, total (% of total labor force) (modeled ILO estimate)|2012"/>
  </r>
  <r>
    <x v="0"/>
    <s v="PAK"/>
    <x v="3"/>
    <s v="SL.UEM.TOTL.ZS"/>
    <x v="3"/>
    <n v="2.9540000000000002"/>
    <s v="Pakistan|Unemployment, total (% of total labor force) (modeled ILO estimate)|2013"/>
  </r>
  <r>
    <x v="0"/>
    <s v="PAK"/>
    <x v="3"/>
    <s v="SL.UEM.TOTL.ZS"/>
    <x v="4"/>
    <n v="1.827"/>
    <s v="Pakistan|Unemployment, total (% of total labor force) (modeled ILO estimate)|2014"/>
  </r>
  <r>
    <x v="0"/>
    <s v="PAK"/>
    <x v="3"/>
    <s v="SL.UEM.TOTL.ZS"/>
    <x v="5"/>
    <n v="3.5659999999999998"/>
    <s v="Pakistan|Unemployment, total (% of total labor force) (modeled ILO estimate)|2015"/>
  </r>
  <r>
    <x v="0"/>
    <s v="PAK"/>
    <x v="3"/>
    <s v="SL.UEM.TOTL.ZS"/>
    <x v="6"/>
    <n v="2.2850000000000001"/>
    <s v="Pakistan|Unemployment, total (% of total labor force) (modeled ILO estimate)|2016"/>
  </r>
  <r>
    <x v="0"/>
    <s v="PAK"/>
    <x v="3"/>
    <s v="SL.UEM.TOTL.ZS"/>
    <x v="7"/>
    <n v="3.2040000000000002"/>
    <s v="Pakistan|Unemployment, total (% of total labor force) (modeled ILO estimate)|2017"/>
  </r>
  <r>
    <x v="0"/>
    <s v="PAK"/>
    <x v="3"/>
    <s v="SL.UEM.TOTL.ZS"/>
    <x v="8"/>
    <n v="4.0830000000000002"/>
    <s v="Pakistan|Unemployment, total (% of total labor force) (modeled ILO estimate)|2018"/>
  </r>
  <r>
    <x v="0"/>
    <s v="PAK"/>
    <x v="3"/>
    <s v="SL.UEM.TOTL.ZS"/>
    <x v="9"/>
    <n v="4.83"/>
    <s v="Pakistan|Unemployment, total (% of total labor force) (modeled ILO estimate)|2019"/>
  </r>
  <r>
    <x v="0"/>
    <s v="PAK"/>
    <x v="3"/>
    <s v="SL.UEM.TOTL.ZS"/>
    <x v="10"/>
    <n v="5.9939999999999998"/>
    <s v="Pakistan|Unemployment, total (% of total labor force) (modeled ILO estimate)|2020"/>
  </r>
  <r>
    <x v="0"/>
    <s v="PAK"/>
    <x v="3"/>
    <s v="SL.UEM.TOTL.ZS"/>
    <x v="11"/>
    <n v="6.3380000000000001"/>
    <s v="Pakistan|Unemployment, total (% of total labor force) (modeled ILO estimate)|2021"/>
  </r>
  <r>
    <x v="0"/>
    <s v="PAK"/>
    <x v="3"/>
    <s v="SL.UEM.TOTL.ZS"/>
    <x v="12"/>
    <n v="5.2910000000000004"/>
    <s v="Pakistan|Unemployment, total (% of total labor force) (modeled ILO estimate)|2022"/>
  </r>
  <r>
    <x v="0"/>
    <s v="PAK"/>
    <x v="3"/>
    <s v="SL.UEM.TOTL.ZS"/>
    <x v="13"/>
    <n v="5.2370000000000001"/>
    <s v="Pakistan|Unemployment, total (% of total labor force) (modeled ILO estimate)|2023"/>
  </r>
  <r>
    <x v="0"/>
    <s v="PAK"/>
    <x v="3"/>
    <s v="SL.UEM.TOTL.ZS"/>
    <x v="14"/>
    <n v="5.492"/>
    <s v="Pakistan|Unemployment, total (% of total labor force) (modeled ILO estimate)|2024"/>
  </r>
  <r>
    <x v="0"/>
    <s v="PAK"/>
    <x v="3"/>
    <s v="SL.UEM.TOTL.ZS"/>
    <x v="15"/>
    <n v="5.42"/>
    <s v="Pakistan|Unemployment, total (% of total labor force) (modeled ILO estimate)|2025"/>
  </r>
  <r>
    <x v="0"/>
    <s v="PAK"/>
    <x v="4"/>
    <s v="FR.INR.LEND"/>
    <x v="0"/>
    <n v="14.0425"/>
    <s v="Pakistan|Lending interest rate (%)|2010"/>
  </r>
  <r>
    <x v="0"/>
    <s v="PAK"/>
    <x v="4"/>
    <s v="FR.INR.LEND"/>
    <x v="1"/>
    <n v="14.419166666666699"/>
    <s v="Pakistan|Lending interest rate (%)|2011"/>
  </r>
  <r>
    <x v="0"/>
    <s v="PAK"/>
    <x v="4"/>
    <s v="FR.INR.LEND"/>
    <x v="2"/>
    <n v="13.519166666666701"/>
    <s v="Pakistan|Lending interest rate (%)|2012"/>
  </r>
  <r>
    <x v="0"/>
    <s v="PAK"/>
    <x v="4"/>
    <s v="FR.INR.LEND"/>
    <x v="3"/>
    <n v="11.9858333333333"/>
    <s v="Pakistan|Lending interest rate (%)|2013"/>
  </r>
  <r>
    <x v="0"/>
    <s v="PAK"/>
    <x v="4"/>
    <s v="FR.INR.LEND"/>
    <x v="4"/>
    <n v="11.73"/>
    <s v="Pakistan|Lending interest rate (%)|2014"/>
  </r>
  <r>
    <x v="0"/>
    <s v="PAK"/>
    <x v="4"/>
    <s v="FR.INR.LEND"/>
    <x v="5"/>
    <n v="10.1558333333333"/>
    <s v="Pakistan|Lending interest rate (%)|2015"/>
  </r>
  <r>
    <x v="0"/>
    <s v="PAK"/>
    <x v="4"/>
    <s v="FR.INR.LEND"/>
    <x v="6"/>
    <n v="8.7550000000000008"/>
    <s v="Pakistan|Lending interest rate (%)|2016"/>
  </r>
  <r>
    <x v="0"/>
    <s v="PAK"/>
    <x v="4"/>
    <s v="FR.INR.LEND"/>
    <x v="7"/>
    <n v="8.2100000000000009"/>
    <s v="Pakistan|Lending interest rate (%)|2017"/>
  </r>
  <r>
    <x v="0"/>
    <s v="PAK"/>
    <x v="4"/>
    <s v="FR.INR.LEND"/>
    <x v="8"/>
    <n v="8.5308333333333408"/>
    <s v="Pakistan|Lending interest rate (%)|2018"/>
  </r>
  <r>
    <x v="0"/>
    <s v="PAK"/>
    <x v="4"/>
    <s v="FR.INR.LEND"/>
    <x v="9"/>
    <n v="12.233054804152999"/>
    <s v="Pakistan|Lending interest rate (%)|2019"/>
  </r>
  <r>
    <x v="0"/>
    <s v="PAK"/>
    <x v="4"/>
    <s v="FR.INR.LEND"/>
    <x v="10"/>
    <n v="10.757749426799901"/>
    <s v="Pakistan|Lending interest rate (%)|2020"/>
  </r>
  <r>
    <x v="0"/>
    <s v="PAK"/>
    <x v="4"/>
    <s v="FR.INR.LEND"/>
    <x v="11"/>
    <n v="8.6659742147252405"/>
    <s v="Pakistan|Lending interest rate (%)|2021"/>
  </r>
  <r>
    <x v="0"/>
    <s v="PAK"/>
    <x v="4"/>
    <s v="FR.INR.LEND"/>
    <x v="12"/>
    <m/>
    <s v="Pakistan|Lending interest rate (%)|2022"/>
  </r>
  <r>
    <x v="0"/>
    <s v="PAK"/>
    <x v="4"/>
    <s v="FR.INR.LEND"/>
    <x v="13"/>
    <m/>
    <s v="Pakistan|Lending interest rate (%)|2023"/>
  </r>
  <r>
    <x v="0"/>
    <s v="PAK"/>
    <x v="4"/>
    <s v="FR.INR.LEND"/>
    <x v="14"/>
    <m/>
    <s v="Pakistan|Lending interest rate (%)|2024"/>
  </r>
  <r>
    <x v="0"/>
    <s v="PAK"/>
    <x v="4"/>
    <s v="FR.INR.LEND"/>
    <x v="15"/>
    <m/>
    <s v="Pakistan|Lending interest rate (%)|2025"/>
  </r>
  <r>
    <x v="0"/>
    <s v="PAK"/>
    <x v="5"/>
    <s v="PA.NUS.FCRF"/>
    <x v="0"/>
    <n v="85.193816325757581"/>
    <s v="Pakistan|Official exchange rate (LCU per US$, period average)|2010"/>
  </r>
  <r>
    <x v="0"/>
    <s v="PAK"/>
    <x v="5"/>
    <s v="PA.NUS.FCRF"/>
    <x v="1"/>
    <n v="86.343383333333321"/>
    <s v="Pakistan|Official exchange rate (LCU per US$, period average)|2011"/>
  </r>
  <r>
    <x v="0"/>
    <s v="PAK"/>
    <x v="5"/>
    <s v="PA.NUS.FCRF"/>
    <x v="2"/>
    <n v="93.395197222222222"/>
    <s v="Pakistan|Official exchange rate (LCU per US$, period average)|2012"/>
  </r>
  <r>
    <x v="0"/>
    <s v="PAK"/>
    <x v="5"/>
    <s v="PA.NUS.FCRF"/>
    <x v="3"/>
    <n v="101.6288992063492"/>
    <s v="Pakistan|Official exchange rate (LCU per US$, period average)|2013"/>
  </r>
  <r>
    <x v="0"/>
    <s v="PAK"/>
    <x v="5"/>
    <s v="PA.NUS.FCRF"/>
    <x v="4"/>
    <n v="101.100088423521"/>
    <s v="Pakistan|Official exchange rate (LCU per US$, period average)|2014"/>
  </r>
  <r>
    <x v="0"/>
    <s v="PAK"/>
    <x v="5"/>
    <s v="PA.NUS.FCRF"/>
    <x v="5"/>
    <n v="102.7692716046746"/>
    <s v="Pakistan|Official exchange rate (LCU per US$, period average)|2015"/>
  </r>
  <r>
    <x v="0"/>
    <s v="PAK"/>
    <x v="5"/>
    <s v="PA.NUS.FCRF"/>
    <x v="6"/>
    <n v="104.769117033301"/>
    <s v="Pakistan|Official exchange rate (LCU per US$, period average)|2016"/>
  </r>
  <r>
    <x v="0"/>
    <s v="PAK"/>
    <x v="5"/>
    <s v="PA.NUS.FCRF"/>
    <x v="7"/>
    <n v="105.45516208793759"/>
    <s v="Pakistan|Official exchange rate (LCU per US$, period average)|2017"/>
  </r>
  <r>
    <x v="0"/>
    <s v="PAK"/>
    <x v="5"/>
    <s v="PA.NUS.FCRF"/>
    <x v="8"/>
    <n v="121.8240688757563"/>
    <s v="Pakistan|Official exchange rate (LCU per US$, period average)|2018"/>
  </r>
  <r>
    <x v="0"/>
    <s v="PAK"/>
    <x v="5"/>
    <s v="PA.NUS.FCRF"/>
    <x v="9"/>
    <n v="150.03625383986429"/>
    <s v="Pakistan|Official exchange rate (LCU per US$, period average)|2019"/>
  </r>
  <r>
    <x v="0"/>
    <s v="PAK"/>
    <x v="5"/>
    <s v="PA.NUS.FCRF"/>
    <x v="10"/>
    <n v="161.83847968471841"/>
    <s v="Pakistan|Official exchange rate (LCU per US$, period average)|2020"/>
  </r>
  <r>
    <x v="0"/>
    <s v="PAK"/>
    <x v="5"/>
    <s v="PA.NUS.FCRF"/>
    <x v="11"/>
    <n v="162.90625374741819"/>
    <s v="Pakistan|Official exchange rate (LCU per US$, period average)|2021"/>
  </r>
  <r>
    <x v="0"/>
    <s v="PAK"/>
    <x v="5"/>
    <s v="PA.NUS.FCRF"/>
    <x v="12"/>
    <n v="204.8671874699823"/>
    <s v="Pakistan|Official exchange rate (LCU per US$, period average)|2022"/>
  </r>
  <r>
    <x v="0"/>
    <s v="PAK"/>
    <x v="5"/>
    <s v="PA.NUS.FCRF"/>
    <x v="13"/>
    <n v="280.35611165514899"/>
    <s v="Pakistan|Official exchange rate (LCU per US$, period average)|2023"/>
  </r>
  <r>
    <x v="0"/>
    <s v="PAK"/>
    <x v="5"/>
    <s v="PA.NUS.FCRF"/>
    <x v="14"/>
    <n v="278.58071616756251"/>
    <s v="Pakistan|Official exchange rate (LCU per US$, period average)|2024"/>
  </r>
  <r>
    <x v="0"/>
    <s v="PAK"/>
    <x v="5"/>
    <s v="PA.NUS.FCRF"/>
    <x v="15"/>
    <n v="281.14300117320221"/>
    <s v="Pakistan|Official exchange rate (LCU per US$, period average)|2025"/>
  </r>
  <r>
    <x v="0"/>
    <s v="PAK"/>
    <x v="6"/>
    <s v="NE.EXP.GNFS.ZS"/>
    <x v="0"/>
    <n v="12.63722455929476"/>
    <s v="Pakistan|Exports of goods and services (% of GDP)|2010"/>
  </r>
  <r>
    <x v="0"/>
    <s v="PAK"/>
    <x v="6"/>
    <s v="NE.EXP.GNFS.ZS"/>
    <x v="1"/>
    <n v="13.482554861721709"/>
    <s v="Pakistan|Exports of goods and services (% of GDP)|2011"/>
  </r>
  <r>
    <x v="0"/>
    <s v="PAK"/>
    <x v="6"/>
    <s v="NE.EXP.GNFS.ZS"/>
    <x v="2"/>
    <n v="11.873964147323756"/>
    <s v="Pakistan|Exports of goods and services (% of GDP)|2012"/>
  </r>
  <r>
    <x v="0"/>
    <s v="PAK"/>
    <x v="6"/>
    <s v="NE.EXP.GNFS.ZS"/>
    <x v="3"/>
    <n v="12.177499204069637"/>
    <s v="Pakistan|Exports of goods and services (% of GDP)|2013"/>
  </r>
  <r>
    <x v="0"/>
    <s v="PAK"/>
    <x v="6"/>
    <s v="NE.EXP.GNFS.ZS"/>
    <x v="4"/>
    <n v="11.194971742614598"/>
    <s v="Pakistan|Exports of goods and services (% of GDP)|2014"/>
  </r>
  <r>
    <x v="0"/>
    <s v="PAK"/>
    <x v="6"/>
    <s v="NE.EXP.GNFS.ZS"/>
    <x v="5"/>
    <n v="9.9745709512403575"/>
    <s v="Pakistan|Exports of goods and services (% of GDP)|2015"/>
  </r>
  <r>
    <x v="0"/>
    <s v="PAK"/>
    <x v="6"/>
    <s v="NE.EXP.GNFS.ZS"/>
    <x v="6"/>
    <n v="8.7367163911656789"/>
    <s v="Pakistan|Exports of goods and services (% of GDP)|2016"/>
  </r>
  <r>
    <x v="0"/>
    <s v="PAK"/>
    <x v="6"/>
    <s v="NE.EXP.GNFS.ZS"/>
    <x v="7"/>
    <n v="8.221611343955594"/>
    <s v="Pakistan|Exports of goods and services (% of GDP)|2017"/>
  </r>
  <r>
    <x v="0"/>
    <s v="PAK"/>
    <x v="6"/>
    <s v="NE.EXP.GNFS.ZS"/>
    <x v="8"/>
    <n v="8.5817996055607324"/>
    <s v="Pakistan|Exports of goods and services (% of GDP)|2018"/>
  </r>
  <r>
    <x v="0"/>
    <s v="PAK"/>
    <x v="6"/>
    <s v="NE.EXP.GNFS.ZS"/>
    <x v="9"/>
    <n v="9.3908635386026997"/>
    <s v="Pakistan|Exports of goods and services (% of GDP)|2019"/>
  </r>
  <r>
    <x v="0"/>
    <s v="PAK"/>
    <x v="6"/>
    <s v="NE.EXP.GNFS.ZS"/>
    <x v="10"/>
    <n v="9.298559442347246"/>
    <s v="Pakistan|Exports of goods and services (% of GDP)|2020"/>
  </r>
  <r>
    <x v="0"/>
    <s v="PAK"/>
    <x v="6"/>
    <s v="NE.EXP.GNFS.ZS"/>
    <x v="11"/>
    <n v="9.0515998887818796"/>
    <s v="Pakistan|Exports of goods and services (% of GDP)|2021"/>
  </r>
  <r>
    <x v="0"/>
    <s v="PAK"/>
    <x v="6"/>
    <s v="NE.EXP.GNFS.ZS"/>
    <x v="12"/>
    <n v="10.540590272104113"/>
    <s v="Pakistan|Exports of goods and services (% of GDP)|2022"/>
  </r>
  <r>
    <x v="0"/>
    <s v="PAK"/>
    <x v="6"/>
    <s v="NE.EXP.GNFS.ZS"/>
    <x v="13"/>
    <n v="10.493958751156445"/>
    <s v="Pakistan|Exports of goods and services (% of GDP)|2023"/>
  </r>
  <r>
    <x v="0"/>
    <s v="PAK"/>
    <x v="6"/>
    <s v="NE.EXP.GNFS.ZS"/>
    <x v="14"/>
    <n v="10.385503133101166"/>
    <s v="Pakistan|Exports of goods and services (% of GDP)|2024"/>
  </r>
  <r>
    <x v="0"/>
    <s v="PAK"/>
    <x v="6"/>
    <s v="NE.EXP.GNFS.ZS"/>
    <x v="15"/>
    <n v="9.985206710421652"/>
    <s v="Pakistan|Exports of goods and services (% of GDP)|2025"/>
  </r>
  <r>
    <x v="0"/>
    <s v="PAK"/>
    <x v="7"/>
    <s v="NE.IMP.GNFS.ZS"/>
    <x v="0"/>
    <n v="19.351777486936786"/>
    <s v="Pakistan|Imports of goods and services (% of GDP)|2010"/>
  </r>
  <r>
    <x v="0"/>
    <s v="PAK"/>
    <x v="7"/>
    <s v="NE.IMP.GNFS.ZS"/>
    <x v="1"/>
    <n v="18.880083413422092"/>
    <s v="Pakistan|Imports of goods and services (% of GDP)|2011"/>
  </r>
  <r>
    <x v="0"/>
    <s v="PAK"/>
    <x v="7"/>
    <s v="NE.IMP.GNFS.ZS"/>
    <x v="2"/>
    <n v="19.445009128683832"/>
    <s v="Pakistan|Imports of goods and services (% of GDP)|2012"/>
  </r>
  <r>
    <x v="0"/>
    <s v="PAK"/>
    <x v="7"/>
    <s v="NE.IMP.GNFS.ZS"/>
    <x v="3"/>
    <n v="18.712775136114747"/>
    <s v="Pakistan|Imports of goods and services (% of GDP)|2013"/>
  </r>
  <r>
    <x v="0"/>
    <s v="PAK"/>
    <x v="7"/>
    <s v="NE.IMP.GNFS.ZS"/>
    <x v="4"/>
    <n v="18.274853947785189"/>
    <s v="Pakistan|Imports of goods and services (% of GDP)|2014"/>
  </r>
  <r>
    <x v="0"/>
    <s v="PAK"/>
    <x v="7"/>
    <s v="NE.IMP.GNFS.ZS"/>
    <x v="5"/>
    <n v="16.713615065984317"/>
    <s v="Pakistan|Imports of goods and services (% of GDP)|2015"/>
  </r>
  <r>
    <x v="0"/>
    <s v="PAK"/>
    <x v="7"/>
    <s v="NE.IMP.GNFS.ZS"/>
    <x v="6"/>
    <n v="15.964861656891639"/>
    <s v="Pakistan|Imports of goods and services (% of GDP)|2016"/>
  </r>
  <r>
    <x v="0"/>
    <s v="PAK"/>
    <x v="7"/>
    <s v="NE.IMP.GNFS.ZS"/>
    <x v="7"/>
    <n v="17.250423658388385"/>
    <s v="Pakistan|Imports of goods and services (% of GDP)|2017"/>
  </r>
  <r>
    <x v="0"/>
    <s v="PAK"/>
    <x v="7"/>
    <s v="NE.IMP.GNFS.ZS"/>
    <x v="8"/>
    <n v="19.044257474072978"/>
    <s v="Pakistan|Imports of goods and services (% of GDP)|2018"/>
  </r>
  <r>
    <x v="0"/>
    <s v="PAK"/>
    <x v="7"/>
    <s v="NE.IMP.GNFS.ZS"/>
    <x v="9"/>
    <n v="19.514713448100533"/>
    <s v="Pakistan|Imports of goods and services (% of GDP)|2019"/>
  </r>
  <r>
    <x v="0"/>
    <s v="PAK"/>
    <x v="7"/>
    <s v="NE.IMP.GNFS.ZS"/>
    <x v="10"/>
    <n v="17.417721290534121"/>
    <s v="Pakistan|Imports of goods and services (% of GDP)|2020"/>
  </r>
  <r>
    <x v="0"/>
    <s v="PAK"/>
    <x v="7"/>
    <s v="NE.IMP.GNFS.ZS"/>
    <x v="11"/>
    <n v="17.978820523772875"/>
    <s v="Pakistan|Imports of goods and services (% of GDP)|2021"/>
  </r>
  <r>
    <x v="0"/>
    <s v="PAK"/>
    <x v="7"/>
    <s v="NE.IMP.GNFS.ZS"/>
    <x v="12"/>
    <n v="22.490763205927919"/>
    <s v="Pakistan|Imports of goods and services (% of GDP)|2022"/>
  </r>
  <r>
    <x v="0"/>
    <s v="PAK"/>
    <x v="7"/>
    <s v="NE.IMP.GNFS.ZS"/>
    <x v="13"/>
    <n v="17.973733795827251"/>
    <s v="Pakistan|Imports of goods and services (% of GDP)|2023"/>
  </r>
  <r>
    <x v="0"/>
    <s v="PAK"/>
    <x v="7"/>
    <s v="NE.IMP.GNFS.ZS"/>
    <x v="14"/>
    <n v="17.179827777478305"/>
    <s v="Pakistan|Imports of goods and services (% of GDP)|2024"/>
  </r>
  <r>
    <x v="0"/>
    <s v="PAK"/>
    <x v="7"/>
    <s v="NE.IMP.GNFS.ZS"/>
    <x v="15"/>
    <n v="17.208330668344761"/>
    <s v="Pakistan|Imports of goods and services (% of GDP)|2025"/>
  </r>
  <r>
    <x v="0"/>
    <s v="PAK"/>
    <x v="8"/>
    <s v="BX.KLT.DINV.CD.WD"/>
    <x v="0"/>
    <n v="2022000000"/>
    <s v="Pakistan|Foreign direct investment, net inflows (BoP, current US$)|2010"/>
  </r>
  <r>
    <x v="0"/>
    <s v="PAK"/>
    <x v="8"/>
    <s v="BX.KLT.DINV.CD.WD"/>
    <x v="1"/>
    <n v="1326000000"/>
    <s v="Pakistan|Foreign direct investment, net inflows (BoP, current US$)|2011"/>
  </r>
  <r>
    <x v="0"/>
    <s v="PAK"/>
    <x v="8"/>
    <s v="BX.KLT.DINV.CD.WD"/>
    <x v="2"/>
    <n v="859000000"/>
    <s v="Pakistan|Foreign direct investment, net inflows (BoP, current US$)|2012"/>
  </r>
  <r>
    <x v="0"/>
    <s v="PAK"/>
    <x v="8"/>
    <s v="BX.KLT.DINV.CD.WD"/>
    <x v="3"/>
    <n v="1333000000"/>
    <s v="Pakistan|Foreign direct investment, net inflows (BoP, current US$)|2013"/>
  </r>
  <r>
    <x v="0"/>
    <s v="PAK"/>
    <x v="8"/>
    <s v="BX.KLT.DINV.CD.WD"/>
    <x v="4"/>
    <n v="1887000000"/>
    <s v="Pakistan|Foreign direct investment, net inflows (BoP, current US$)|2014"/>
  </r>
  <r>
    <x v="0"/>
    <s v="PAK"/>
    <x v="8"/>
    <s v="BX.KLT.DINV.CD.WD"/>
    <x v="5"/>
    <n v="1673000000"/>
    <s v="Pakistan|Foreign direct investment, net inflows (BoP, current US$)|2015"/>
  </r>
  <r>
    <x v="0"/>
    <s v="PAK"/>
    <x v="8"/>
    <s v="BX.KLT.DINV.CD.WD"/>
    <x v="6"/>
    <n v="2576000000"/>
    <s v="Pakistan|Foreign direct investment, net inflows (BoP, current US$)|2016"/>
  </r>
  <r>
    <x v="0"/>
    <s v="PAK"/>
    <x v="8"/>
    <s v="BX.KLT.DINV.CD.WD"/>
    <x v="7"/>
    <n v="2496000000"/>
    <s v="Pakistan|Foreign direct investment, net inflows (BoP, current US$)|2017"/>
  </r>
  <r>
    <x v="0"/>
    <s v="PAK"/>
    <x v="8"/>
    <s v="BX.KLT.DINV.CD.WD"/>
    <x v="8"/>
    <n v="1737000000"/>
    <s v="Pakistan|Foreign direct investment, net inflows (BoP, current US$)|2018"/>
  </r>
  <r>
    <x v="0"/>
    <s v="PAK"/>
    <x v="8"/>
    <s v="BX.KLT.DINV.CD.WD"/>
    <x v="9"/>
    <n v="2234000000"/>
    <s v="Pakistan|Foreign direct investment, net inflows (BoP, current US$)|2019"/>
  </r>
  <r>
    <x v="0"/>
    <s v="PAK"/>
    <x v="8"/>
    <s v="BX.KLT.DINV.CD.WD"/>
    <x v="10"/>
    <n v="2057000000"/>
    <s v="Pakistan|Foreign direct investment, net inflows (BoP, current US$)|2020"/>
  </r>
  <r>
    <x v="0"/>
    <s v="PAK"/>
    <x v="8"/>
    <s v="BX.KLT.DINV.CD.WD"/>
    <x v="11"/>
    <n v="2147000000"/>
    <s v="Pakistan|Foreign direct investment, net inflows (BoP, current US$)|2021"/>
  </r>
  <r>
    <x v="0"/>
    <s v="PAK"/>
    <x v="8"/>
    <s v="BX.KLT.DINV.CD.WD"/>
    <x v="12"/>
    <n v="1462000000"/>
    <s v="Pakistan|Foreign direct investment, net inflows (BoP, current US$)|2022"/>
  </r>
  <r>
    <x v="0"/>
    <s v="PAK"/>
    <x v="8"/>
    <s v="BX.KLT.DINV.CD.WD"/>
    <x v="13"/>
    <n v="2048000000"/>
    <s v="Pakistan|Foreign direct investment, net inflows (BoP, current US$)|2023"/>
  </r>
  <r>
    <x v="0"/>
    <s v="PAK"/>
    <x v="8"/>
    <s v="BX.KLT.DINV.CD.WD"/>
    <x v="14"/>
    <n v="2665000000"/>
    <s v="Pakistan|Foreign direct investment, net inflows (BoP, current US$)|2024"/>
  </r>
  <r>
    <x v="0"/>
    <s v="PAK"/>
    <x v="8"/>
    <s v="BX.KLT.DINV.CD.WD"/>
    <x v="15"/>
    <n v="1852000000"/>
    <s v="Pakistan|Foreign direct investment, net inflows (BoP, current US$)|2025"/>
  </r>
  <r>
    <x v="0"/>
    <s v="PAK"/>
    <x v="9"/>
    <s v="SP.POP.TOTL"/>
    <x v="0"/>
    <n v="199239047"/>
    <s v="Pakistan|Population, total|2010"/>
  </r>
  <r>
    <x v="0"/>
    <s v="PAK"/>
    <x v="9"/>
    <s v="SP.POP.TOTL"/>
    <x v="1"/>
    <n v="203746065"/>
    <s v="Pakistan|Population, total|2011"/>
  </r>
  <r>
    <x v="0"/>
    <s v="PAK"/>
    <x v="9"/>
    <s v="SP.POP.TOTL"/>
    <x v="2"/>
    <n v="207667125"/>
    <s v="Pakistan|Population, total|2012"/>
  </r>
  <r>
    <x v="0"/>
    <s v="PAK"/>
    <x v="9"/>
    <s v="SP.POP.TOTL"/>
    <x v="3"/>
    <n v="211073978"/>
    <s v="Pakistan|Population, total|2013"/>
  </r>
  <r>
    <x v="0"/>
    <s v="PAK"/>
    <x v="9"/>
    <s v="SP.POP.TOTL"/>
    <x v="4"/>
    <n v="214264647"/>
    <s v="Pakistan|Population, total|2014"/>
  </r>
  <r>
    <x v="0"/>
    <s v="PAK"/>
    <x v="9"/>
    <s v="SP.POP.TOTL"/>
    <x v="5"/>
    <n v="217290883"/>
    <s v="Pakistan|Population, total|2015"/>
  </r>
  <r>
    <x v="0"/>
    <s v="PAK"/>
    <x v="9"/>
    <s v="SP.POP.TOTL"/>
    <x v="6"/>
    <n v="220138869"/>
    <s v="Pakistan|Population, total|2016"/>
  </r>
  <r>
    <x v="0"/>
    <s v="PAK"/>
    <x v="9"/>
    <s v="SP.POP.TOTL"/>
    <x v="7"/>
    <n v="223273967"/>
    <s v="Pakistan|Population, total|2017"/>
  </r>
  <r>
    <x v="0"/>
    <s v="PAK"/>
    <x v="9"/>
    <s v="SP.POP.TOTL"/>
    <x v="8"/>
    <n v="226928892"/>
    <s v="Pakistan|Population, total|2018"/>
  </r>
  <r>
    <x v="0"/>
    <s v="PAK"/>
    <x v="9"/>
    <s v="SP.POP.TOTL"/>
    <x v="9"/>
    <n v="230800899"/>
    <s v="Pakistan|Population, total|2019"/>
  </r>
  <r>
    <x v="0"/>
    <s v="PAK"/>
    <x v="9"/>
    <s v="SP.POP.TOTL"/>
    <x v="10"/>
    <n v="235001746"/>
    <s v="Pakistan|Population, total|2020"/>
  </r>
  <r>
    <x v="0"/>
    <s v="PAK"/>
    <x v="9"/>
    <s v="SP.POP.TOTL"/>
    <x v="11"/>
    <n v="239477801"/>
    <s v="Pakistan|Population, total|2021"/>
  </r>
  <r>
    <x v="0"/>
    <s v="PAK"/>
    <x v="9"/>
    <s v="SP.POP.TOTL"/>
    <x v="12"/>
    <n v="243700667"/>
    <s v="Pakistan|Population, total|2022"/>
  </r>
  <r>
    <x v="0"/>
    <s v="PAK"/>
    <x v="9"/>
    <s v="SP.POP.TOTL"/>
    <x v="13"/>
    <n v="247504495"/>
    <s v="Pakistan|Population, total|2023"/>
  </r>
  <r>
    <x v="0"/>
    <s v="PAK"/>
    <x v="9"/>
    <s v="SP.POP.TOTL"/>
    <x v="14"/>
    <n v="251269164"/>
    <s v="Pakistan|Population, total|2024"/>
  </r>
  <r>
    <x v="0"/>
    <s v="PAK"/>
    <x v="9"/>
    <s v="SP.POP.TOTL"/>
    <x v="15"/>
    <n v="255219554"/>
    <s v="Pakistan|Population, total|2025"/>
  </r>
  <r>
    <x v="1"/>
    <s v="IND"/>
    <x v="0"/>
    <s v="NY.GDP.MKTP.CD"/>
    <x v="0"/>
    <n v="1675615519484.959"/>
    <s v="India|GDP (current US$)|2010"/>
  </r>
  <r>
    <x v="1"/>
    <s v="IND"/>
    <x v="0"/>
    <s v="NY.GDP.MKTP.CD"/>
    <x v="1"/>
    <n v="1823051829894.5461"/>
    <s v="India|GDP (current US$)|2011"/>
  </r>
  <r>
    <x v="1"/>
    <s v="IND"/>
    <x v="0"/>
    <s v="NY.GDP.MKTP.CD"/>
    <x v="2"/>
    <n v="1827637590410.4143"/>
    <s v="India|GDP (current US$)|2012"/>
  </r>
  <r>
    <x v="1"/>
    <s v="IND"/>
    <x v="0"/>
    <s v="NY.GDP.MKTP.CD"/>
    <x v="3"/>
    <n v="1856721507621.5764"/>
    <s v="India|GDP (current US$)|2013"/>
  </r>
  <r>
    <x v="1"/>
    <s v="IND"/>
    <x v="0"/>
    <s v="NY.GDP.MKTP.CD"/>
    <x v="4"/>
    <n v="2039126479154.5168"/>
    <s v="India|GDP (current US$)|2014"/>
  </r>
  <r>
    <x v="1"/>
    <s v="IND"/>
    <x v="0"/>
    <s v="NY.GDP.MKTP.CD"/>
    <x v="5"/>
    <n v="2103588360044.9392"/>
    <s v="India|GDP (current US$)|2015"/>
  </r>
  <r>
    <x v="1"/>
    <s v="IND"/>
    <x v="0"/>
    <s v="NY.GDP.MKTP.CD"/>
    <x v="6"/>
    <n v="2294796885663.1631"/>
    <s v="India|GDP (current US$)|2016"/>
  </r>
  <r>
    <x v="1"/>
    <s v="IND"/>
    <x v="0"/>
    <s v="NY.GDP.MKTP.CD"/>
    <x v="7"/>
    <n v="2651474262755.4521"/>
    <s v="India|GDP (current US$)|2017"/>
  </r>
  <r>
    <x v="1"/>
    <s v="IND"/>
    <x v="0"/>
    <s v="NY.GDP.MKTP.CD"/>
    <x v="8"/>
    <n v="2702929641648.7407"/>
    <s v="India|GDP (current US$)|2018"/>
  </r>
  <r>
    <x v="1"/>
    <s v="IND"/>
    <x v="0"/>
    <s v="NY.GDP.MKTP.CD"/>
    <x v="9"/>
    <n v="2835606256558.1948"/>
    <s v="India|GDP (current US$)|2019"/>
  </r>
  <r>
    <x v="1"/>
    <s v="IND"/>
    <x v="0"/>
    <s v="NY.GDP.MKTP.CD"/>
    <x v="10"/>
    <n v="2674851578587.2686"/>
    <s v="India|GDP (current US$)|2020"/>
  </r>
  <r>
    <x v="1"/>
    <s v="IND"/>
    <x v="0"/>
    <s v="NY.GDP.MKTP.CD"/>
    <x v="11"/>
    <n v="3167270623260.4688"/>
    <s v="India|GDP (current US$)|2021"/>
  </r>
  <r>
    <x v="1"/>
    <s v="IND"/>
    <x v="0"/>
    <s v="NY.GDP.MKTP.CD"/>
    <x v="12"/>
    <n v="3249938492013.4712"/>
    <s v="India|GDP (current US$)|2022"/>
  </r>
  <r>
    <x v="1"/>
    <s v="IND"/>
    <x v="0"/>
    <s v="NY.GDP.MKTP.CD"/>
    <x v="13"/>
    <n v="3500906030644.7642"/>
    <s v="India|GDP (current US$)|2023"/>
  </r>
  <r>
    <x v="1"/>
    <s v="IND"/>
    <x v="0"/>
    <s v="NY.GDP.MKTP.CD"/>
    <x v="14"/>
    <n v="3760813470500.8564"/>
    <s v="India|GDP (current US$)|2024"/>
  </r>
  <r>
    <x v="1"/>
    <s v="IND"/>
    <x v="0"/>
    <s v="NY.GDP.MKTP.CD"/>
    <x v="15"/>
    <n v="3956067115771.6313"/>
    <s v="India|GDP (current US$)|2025"/>
  </r>
  <r>
    <x v="1"/>
    <s v="IND"/>
    <x v="1"/>
    <s v="NY.GDP.MKTP.KD.ZG"/>
    <x v="0"/>
    <n v="8.4975847016562511"/>
    <s v="India|GDP growth (annual %)|2010"/>
  </r>
  <r>
    <x v="1"/>
    <s v="IND"/>
    <x v="1"/>
    <s v="NY.GDP.MKTP.KD.ZG"/>
    <x v="1"/>
    <n v="5.2413162002429345"/>
    <s v="India|GDP growth (annual %)|2011"/>
  </r>
  <r>
    <x v="1"/>
    <s v="IND"/>
    <x v="1"/>
    <s v="NY.GDP.MKTP.KD.ZG"/>
    <x v="2"/>
    <n v="5.4563875516477225"/>
    <s v="India|GDP growth (annual %)|2012"/>
  </r>
  <r>
    <x v="1"/>
    <s v="IND"/>
    <x v="1"/>
    <s v="NY.GDP.MKTP.KD.ZG"/>
    <x v="3"/>
    <n v="6.3861064009171287"/>
    <s v="India|GDP growth (annual %)|2013"/>
  </r>
  <r>
    <x v="1"/>
    <s v="IND"/>
    <x v="1"/>
    <s v="NY.GDP.MKTP.KD.ZG"/>
    <x v="4"/>
    <n v="7.4102276051697658"/>
    <s v="India|GDP growth (annual %)|2014"/>
  </r>
  <r>
    <x v="1"/>
    <s v="IND"/>
    <x v="1"/>
    <s v="NY.GDP.MKTP.KD.ZG"/>
    <x v="5"/>
    <n v="7.996253785679869"/>
    <s v="India|GDP growth (annual %)|2015"/>
  </r>
  <r>
    <x v="1"/>
    <s v="IND"/>
    <x v="1"/>
    <s v="NY.GDP.MKTP.KD.ZG"/>
    <x v="6"/>
    <n v="8.2563055017666187"/>
    <s v="India|GDP growth (annual %)|2016"/>
  </r>
  <r>
    <x v="1"/>
    <s v="IND"/>
    <x v="1"/>
    <s v="NY.GDP.MKTP.KD.ZG"/>
    <x v="7"/>
    <n v="6.7953834190242191"/>
    <s v="India|GDP growth (annual %)|2017"/>
  </r>
  <r>
    <x v="1"/>
    <s v="IND"/>
    <x v="1"/>
    <s v="NY.GDP.MKTP.KD.ZG"/>
    <x v="8"/>
    <n v="6.4538513449529518"/>
    <s v="India|GDP growth (annual %)|2018"/>
  </r>
  <r>
    <x v="1"/>
    <s v="IND"/>
    <x v="1"/>
    <s v="NY.GDP.MKTP.KD.ZG"/>
    <x v="9"/>
    <n v="3.8714369407052374"/>
    <s v="India|GDP growth (annual %)|2019"/>
  </r>
  <r>
    <x v="1"/>
    <s v="IND"/>
    <x v="1"/>
    <s v="NY.GDP.MKTP.KD.ZG"/>
    <x v="10"/>
    <n v="-5.7777247068730304"/>
    <s v="India|GDP growth (annual %)|2020"/>
  </r>
  <r>
    <x v="1"/>
    <s v="IND"/>
    <x v="1"/>
    <s v="NY.GDP.MKTP.KD.ZG"/>
    <x v="11"/>
    <n v="9.6895924919174092"/>
    <s v="India|GDP growth (annual %)|2021"/>
  </r>
  <r>
    <x v="1"/>
    <s v="IND"/>
    <x v="1"/>
    <s v="NY.GDP.MKTP.KD.ZG"/>
    <x v="12"/>
    <n v="7.609364977693204"/>
    <s v="India|GDP growth (annual %)|2022"/>
  </r>
  <r>
    <x v="1"/>
    <s v="IND"/>
    <x v="1"/>
    <s v="NY.GDP.MKTP.KD.ZG"/>
    <x v="13"/>
    <n v="7.2102246293350021"/>
    <s v="India|GDP growth (annual %)|2023"/>
  </r>
  <r>
    <x v="1"/>
    <s v="IND"/>
    <x v="1"/>
    <s v="NY.GDP.MKTP.KD.ZG"/>
    <x v="14"/>
    <n v="7.0992789317651841"/>
    <s v="India|GDP growth (annual %)|2024"/>
  </r>
  <r>
    <x v="1"/>
    <s v="IND"/>
    <x v="1"/>
    <s v="NY.GDP.MKTP.KD.ZG"/>
    <x v="15"/>
    <n v="7.5666617928424387"/>
    <s v="India|GDP growth (annual %)|2025"/>
  </r>
  <r>
    <x v="1"/>
    <s v="IND"/>
    <x v="2"/>
    <s v="FP.CPI.TOTL.ZG"/>
    <x v="0"/>
    <n v="11.98938992042449"/>
    <s v="India|Inflation, consumer prices (annual %)|2010"/>
  </r>
  <r>
    <x v="1"/>
    <s v="IND"/>
    <x v="2"/>
    <s v="FP.CPI.TOTL.ZG"/>
    <x v="1"/>
    <n v="8.9117933648335992"/>
    <s v="India|Inflation, consumer prices (annual %)|2011"/>
  </r>
  <r>
    <x v="1"/>
    <s v="IND"/>
    <x v="2"/>
    <s v="FP.CPI.TOTL.ZG"/>
    <x v="2"/>
    <n v="9.4789969141979267"/>
    <s v="India|Inflation, consumer prices (annual %)|2012"/>
  </r>
  <r>
    <x v="1"/>
    <s v="IND"/>
    <x v="2"/>
    <s v="FP.CPI.TOTL.ZG"/>
    <x v="3"/>
    <n v="10.017878474610431"/>
    <s v="India|Inflation, consumer prices (annual %)|2013"/>
  </r>
  <r>
    <x v="1"/>
    <s v="IND"/>
    <x v="2"/>
    <s v="FP.CPI.TOTL.ZG"/>
    <x v="4"/>
    <n v="6.6656567186789939"/>
    <s v="India|Inflation, consumer prices (annual %)|2014"/>
  </r>
  <r>
    <x v="1"/>
    <s v="IND"/>
    <x v="2"/>
    <s v="FP.CPI.TOTL.ZG"/>
    <x v="5"/>
    <n v="4.9069734412724939"/>
    <s v="India|Inflation, consumer prices (annual %)|2015"/>
  </r>
  <r>
    <x v="1"/>
    <s v="IND"/>
    <x v="2"/>
    <s v="FP.CPI.TOTL.ZG"/>
    <x v="6"/>
    <n v="4.9482163406213413"/>
    <s v="India|Inflation, consumer prices (annual %)|2016"/>
  </r>
  <r>
    <x v="1"/>
    <s v="IND"/>
    <x v="2"/>
    <s v="FP.CPI.TOTL.ZG"/>
    <x v="7"/>
    <n v="3.3281733746130469"/>
    <s v="India|Inflation, consumer prices (annual %)|2017"/>
  </r>
  <r>
    <x v="1"/>
    <s v="IND"/>
    <x v="2"/>
    <s v="FP.CPI.TOTL.ZG"/>
    <x v="8"/>
    <n v="3.9388264669164261"/>
    <s v="India|Inflation, consumer prices (annual %)|2018"/>
  </r>
  <r>
    <x v="1"/>
    <s v="IND"/>
    <x v="2"/>
    <s v="FP.CPI.TOTL.ZG"/>
    <x v="9"/>
    <n v="3.729505735391232"/>
    <s v="India|Inflation, consumer prices (annual %)|2019"/>
  </r>
  <r>
    <x v="1"/>
    <s v="IND"/>
    <x v="2"/>
    <s v="FP.CPI.TOTL.ZG"/>
    <x v="10"/>
    <n v="6.6234367762852964"/>
    <s v="India|Inflation, consumer prices (annual %)|2020"/>
  </r>
  <r>
    <x v="1"/>
    <s v="IND"/>
    <x v="2"/>
    <s v="FP.CPI.TOTL.ZG"/>
    <x v="11"/>
    <n v="5.1314074717636373"/>
    <s v="India|Inflation, consumer prices (annual %)|2021"/>
  </r>
  <r>
    <x v="1"/>
    <s v="IND"/>
    <x v="2"/>
    <s v="FP.CPI.TOTL.ZG"/>
    <x v="12"/>
    <n v="6.6990341407985774"/>
    <s v="India|Inflation, consumer prices (annual %)|2022"/>
  </r>
  <r>
    <x v="1"/>
    <s v="IND"/>
    <x v="2"/>
    <s v="FP.CPI.TOTL.ZG"/>
    <x v="13"/>
    <n v="5.6491431890792496"/>
    <s v="India|Inflation, consumer prices (annual %)|2023"/>
  </r>
  <r>
    <x v="1"/>
    <s v="IND"/>
    <x v="2"/>
    <s v="FP.CPI.TOTL.ZG"/>
    <x v="14"/>
    <n v="4.9530355097366057"/>
    <s v="India|Inflation, consumer prices (annual %)|2024"/>
  </r>
  <r>
    <x v="1"/>
    <s v="IND"/>
    <x v="2"/>
    <s v="FP.CPI.TOTL.ZG"/>
    <x v="15"/>
    <n v="2.3988495418229441"/>
    <s v="India|Inflation, consumer prices (annual %)|2025"/>
  </r>
  <r>
    <x v="1"/>
    <s v="IND"/>
    <x v="3"/>
    <s v="SL.UEM.TOTL.ZS"/>
    <x v="0"/>
    <n v="7.6310000000000002"/>
    <s v="India|Unemployment, total (% of total labor force) (modeled ILO estimate)|2010"/>
  </r>
  <r>
    <x v="1"/>
    <s v="IND"/>
    <x v="3"/>
    <s v="SL.UEM.TOTL.ZS"/>
    <x v="1"/>
    <n v="7.609"/>
    <s v="India|Unemployment, total (% of total labor force) (modeled ILO estimate)|2011"/>
  </r>
  <r>
    <x v="1"/>
    <s v="IND"/>
    <x v="3"/>
    <s v="SL.UEM.TOTL.ZS"/>
    <x v="2"/>
    <n v="7.6449999999999996"/>
    <s v="India|Unemployment, total (% of total labor force) (modeled ILO estimate)|2012"/>
  </r>
  <r>
    <x v="1"/>
    <s v="IND"/>
    <x v="3"/>
    <s v="SL.UEM.TOTL.ZS"/>
    <x v="3"/>
    <n v="7.6779999999999999"/>
    <s v="India|Unemployment, total (% of total labor force) (modeled ILO estimate)|2013"/>
  </r>
  <r>
    <x v="1"/>
    <s v="IND"/>
    <x v="3"/>
    <s v="SL.UEM.TOTL.ZS"/>
    <x v="4"/>
    <n v="7.6559999999999997"/>
    <s v="India|Unemployment, total (% of total labor force) (modeled ILO estimate)|2014"/>
  </r>
  <r>
    <x v="1"/>
    <s v="IND"/>
    <x v="3"/>
    <s v="SL.UEM.TOTL.ZS"/>
    <x v="5"/>
    <n v="7.6289999999999996"/>
    <s v="India|Unemployment, total (% of total labor force) (modeled ILO estimate)|2015"/>
  </r>
  <r>
    <x v="1"/>
    <s v="IND"/>
    <x v="3"/>
    <s v="SL.UEM.TOTL.ZS"/>
    <x v="6"/>
    <n v="7.6109999999999998"/>
    <s v="India|Unemployment, total (% of total labor force) (modeled ILO estimate)|2016"/>
  </r>
  <r>
    <x v="1"/>
    <s v="IND"/>
    <x v="3"/>
    <s v="SL.UEM.TOTL.ZS"/>
    <x v="7"/>
    <n v="7.6260000000000003"/>
    <s v="India|Unemployment, total (% of total labor force) (modeled ILO estimate)|2017"/>
  </r>
  <r>
    <x v="1"/>
    <s v="IND"/>
    <x v="3"/>
    <s v="SL.UEM.TOTL.ZS"/>
    <x v="8"/>
    <n v="7.6520000000000001"/>
    <s v="India|Unemployment, total (% of total labor force) (modeled ILO estimate)|2018"/>
  </r>
  <r>
    <x v="1"/>
    <s v="IND"/>
    <x v="3"/>
    <s v="SL.UEM.TOTL.ZS"/>
    <x v="9"/>
    <n v="6.51"/>
    <s v="India|Unemployment, total (% of total labor force) (modeled ILO estimate)|2019"/>
  </r>
  <r>
    <x v="1"/>
    <s v="IND"/>
    <x v="3"/>
    <s v="SL.UEM.TOTL.ZS"/>
    <x v="10"/>
    <n v="7.859"/>
    <s v="India|Unemployment, total (% of total labor force) (modeled ILO estimate)|2020"/>
  </r>
  <r>
    <x v="1"/>
    <s v="IND"/>
    <x v="3"/>
    <s v="SL.UEM.TOTL.ZS"/>
    <x v="11"/>
    <n v="6.38"/>
    <s v="India|Unemployment, total (% of total labor force) (modeled ILO estimate)|2021"/>
  </r>
  <r>
    <x v="1"/>
    <s v="IND"/>
    <x v="3"/>
    <s v="SL.UEM.TOTL.ZS"/>
    <x v="12"/>
    <n v="4.8220000000000001"/>
    <s v="India|Unemployment, total (% of total labor force) (modeled ILO estimate)|2022"/>
  </r>
  <r>
    <x v="1"/>
    <s v="IND"/>
    <x v="3"/>
    <s v="SL.UEM.TOTL.ZS"/>
    <x v="13"/>
    <n v="4.1719999999999997"/>
    <s v="India|Unemployment, total (% of total labor force) (modeled ILO estimate)|2023"/>
  </r>
  <r>
    <x v="1"/>
    <s v="IND"/>
    <x v="3"/>
    <s v="SL.UEM.TOTL.ZS"/>
    <x v="14"/>
    <n v="4.173"/>
    <s v="India|Unemployment, total (% of total labor force) (modeled ILO estimate)|2024"/>
  </r>
  <r>
    <x v="1"/>
    <s v="IND"/>
    <x v="3"/>
    <s v="SL.UEM.TOTL.ZS"/>
    <x v="15"/>
    <n v="4.2190000000000003"/>
    <s v="India|Unemployment, total (% of total labor force) (modeled ILO estimate)|2025"/>
  </r>
  <r>
    <x v="1"/>
    <s v="IND"/>
    <x v="4"/>
    <s v="FR.INR.LEND"/>
    <x v="0"/>
    <n v="8.3333499999999994"/>
    <s v="India|Lending interest rate (%)|2010"/>
  </r>
  <r>
    <x v="1"/>
    <s v="IND"/>
    <x v="4"/>
    <s v="FR.INR.LEND"/>
    <x v="1"/>
    <n v="10.1666666666667"/>
    <s v="India|Lending interest rate (%)|2011"/>
  </r>
  <r>
    <x v="1"/>
    <s v="IND"/>
    <x v="4"/>
    <s v="FR.INR.LEND"/>
    <x v="2"/>
    <n v="10.6041666666667"/>
    <s v="India|Lending interest rate (%)|2012"/>
  </r>
  <r>
    <x v="1"/>
    <s v="IND"/>
    <x v="4"/>
    <s v="FR.INR.LEND"/>
    <x v="3"/>
    <n v="10.2916666666667"/>
    <s v="India|Lending interest rate (%)|2013"/>
  </r>
  <r>
    <x v="1"/>
    <s v="IND"/>
    <x v="4"/>
    <s v="FR.INR.LEND"/>
    <x v="4"/>
    <n v="10.25"/>
    <s v="India|Lending interest rate (%)|2014"/>
  </r>
  <r>
    <x v="1"/>
    <s v="IND"/>
    <x v="4"/>
    <s v="FR.INR.LEND"/>
    <x v="5"/>
    <n v="10.008333333333301"/>
    <s v="India|Lending interest rate (%)|2015"/>
  </r>
  <r>
    <x v="1"/>
    <s v="IND"/>
    <x v="4"/>
    <s v="FR.INR.LEND"/>
    <x v="6"/>
    <n v="9.6724999999999994"/>
    <s v="India|Lending interest rate (%)|2016"/>
  </r>
  <r>
    <x v="1"/>
    <s v="IND"/>
    <x v="4"/>
    <s v="FR.INR.LEND"/>
    <x v="7"/>
    <n v="9.5083333333333293"/>
    <s v="India|Lending interest rate (%)|2017"/>
  </r>
  <r>
    <x v="1"/>
    <s v="IND"/>
    <x v="4"/>
    <s v="FR.INR.LEND"/>
    <x v="8"/>
    <n v="9.4541666666666693"/>
    <s v="India|Lending interest rate (%)|2018"/>
  </r>
  <r>
    <x v="1"/>
    <s v="IND"/>
    <x v="4"/>
    <s v="FR.INR.LEND"/>
    <x v="9"/>
    <n v="9.4662500000000005"/>
    <s v="India|Lending interest rate (%)|2019"/>
  </r>
  <r>
    <x v="1"/>
    <s v="IND"/>
    <x v="4"/>
    <s v="FR.INR.LEND"/>
    <x v="10"/>
    <n v="9.15"/>
    <s v="India|Lending interest rate (%)|2020"/>
  </r>
  <r>
    <x v="1"/>
    <s v="IND"/>
    <x v="4"/>
    <s v="FR.INR.LEND"/>
    <x v="11"/>
    <n v="8.6983333333333306"/>
    <s v="India|Lending interest rate (%)|2021"/>
  </r>
  <r>
    <x v="1"/>
    <s v="IND"/>
    <x v="4"/>
    <s v="FR.INR.LEND"/>
    <x v="12"/>
    <n v="8.5671428571428603"/>
    <s v="India|Lending interest rate (%)|2022"/>
  </r>
  <r>
    <x v="1"/>
    <s v="IND"/>
    <x v="4"/>
    <s v="FR.INR.LEND"/>
    <x v="13"/>
    <m/>
    <s v="India|Lending interest rate (%)|2023"/>
  </r>
  <r>
    <x v="1"/>
    <s v="IND"/>
    <x v="4"/>
    <s v="FR.INR.LEND"/>
    <x v="14"/>
    <m/>
    <s v="India|Lending interest rate (%)|2024"/>
  </r>
  <r>
    <x v="1"/>
    <s v="IND"/>
    <x v="4"/>
    <s v="FR.INR.LEND"/>
    <x v="15"/>
    <m/>
    <s v="India|Lending interest rate (%)|2025"/>
  </r>
  <r>
    <x v="1"/>
    <s v="IND"/>
    <x v="5"/>
    <s v="PA.NUS.FCRF"/>
    <x v="0"/>
    <n v="45.725812121212122"/>
    <s v="India|Official exchange rate (LCU per US$, period average)|2010"/>
  </r>
  <r>
    <x v="1"/>
    <s v="IND"/>
    <x v="5"/>
    <s v="PA.NUS.FCRF"/>
    <x v="1"/>
    <n v="46.670466666666677"/>
    <s v="India|Official exchange rate (LCU per US$, period average)|2011"/>
  </r>
  <r>
    <x v="1"/>
    <s v="IND"/>
    <x v="5"/>
    <s v="PA.NUS.FCRF"/>
    <x v="2"/>
    <n v="53.437233333333317"/>
    <s v="India|Official exchange rate (LCU per US$, period average)|2012"/>
  </r>
  <r>
    <x v="1"/>
    <s v="IND"/>
    <x v="5"/>
    <s v="PA.NUS.FCRF"/>
    <x v="3"/>
    <n v="58.597845416666679"/>
    <s v="India|Official exchange rate (LCU per US$, period average)|2013"/>
  </r>
  <r>
    <x v="1"/>
    <s v="IND"/>
    <x v="5"/>
    <s v="PA.NUS.FCRF"/>
    <x v="4"/>
    <n v="61.029514460784299"/>
    <s v="India|Official exchange rate (LCU per US$, period average)|2014"/>
  </r>
  <r>
    <x v="1"/>
    <s v="IND"/>
    <x v="5"/>
    <s v="PA.NUS.FCRF"/>
    <x v="5"/>
    <n v="64.151944463278596"/>
    <s v="India|Official exchange rate (LCU per US$, period average)|2015"/>
  </r>
  <r>
    <x v="1"/>
    <s v="IND"/>
    <x v="5"/>
    <s v="PA.NUS.FCRF"/>
    <x v="6"/>
    <n v="67.195312807389385"/>
    <s v="India|Official exchange rate (LCU per US$, period average)|2016"/>
  </r>
  <r>
    <x v="1"/>
    <s v="IND"/>
    <x v="5"/>
    <s v="PA.NUS.FCRF"/>
    <x v="7"/>
    <n v="65.121568645065949"/>
    <s v="India|Official exchange rate (LCU per US$, period average)|2017"/>
  </r>
  <r>
    <x v="1"/>
    <s v="IND"/>
    <x v="5"/>
    <s v="PA.NUS.FCRF"/>
    <x v="8"/>
    <n v="68.389467093542152"/>
    <s v="India|Official exchange rate (LCU per US$, period average)|2018"/>
  </r>
  <r>
    <x v="1"/>
    <s v="IND"/>
    <x v="5"/>
    <s v="PA.NUS.FCRF"/>
    <x v="9"/>
    <n v="70.420340535955077"/>
    <s v="India|Official exchange rate (LCU per US$, period average)|2019"/>
  </r>
  <r>
    <x v="1"/>
    <s v="IND"/>
    <x v="5"/>
    <s v="PA.NUS.FCRF"/>
    <x v="10"/>
    <n v="74.099566883605249"/>
    <s v="India|Official exchange rate (LCU per US$, period average)|2020"/>
  </r>
  <r>
    <x v="1"/>
    <s v="IND"/>
    <x v="5"/>
    <s v="PA.NUS.FCRF"/>
    <x v="11"/>
    <n v="73.918012815435119"/>
    <s v="India|Official exchange rate (LCU per US$, period average)|2021"/>
  </r>
  <r>
    <x v="1"/>
    <s v="IND"/>
    <x v="5"/>
    <s v="PA.NUS.FCRF"/>
    <x v="12"/>
    <n v="78.604490582991573"/>
    <s v="India|Official exchange rate (LCU per US$, period average)|2022"/>
  </r>
  <r>
    <x v="1"/>
    <s v="IND"/>
    <x v="5"/>
    <s v="PA.NUS.FCRF"/>
    <x v="13"/>
    <n v="82.599276446078449"/>
    <s v="India|Official exchange rate (LCU per US$, period average)|2023"/>
  </r>
  <r>
    <x v="1"/>
    <s v="IND"/>
    <x v="5"/>
    <s v="PA.NUS.FCRF"/>
    <x v="14"/>
    <n v="83.669281580941004"/>
    <s v="India|Official exchange rate (LCU per US$, period average)|2024"/>
  </r>
  <r>
    <x v="1"/>
    <s v="IND"/>
    <x v="5"/>
    <s v="PA.NUS.FCRF"/>
    <x v="15"/>
    <n v="87.15844835073932"/>
    <s v="India|Official exchange rate (LCU per US$, period average)|2025"/>
  </r>
  <r>
    <x v="1"/>
    <s v="IND"/>
    <x v="6"/>
    <s v="NE.EXP.GNFS.ZS"/>
    <x v="0"/>
    <n v="22.400933248794491"/>
    <s v="India|Exports of goods and services (% of GDP)|2010"/>
  </r>
  <r>
    <x v="1"/>
    <s v="IND"/>
    <x v="6"/>
    <s v="NE.EXP.GNFS.ZS"/>
    <x v="1"/>
    <n v="24.540411319571291"/>
    <s v="India|Exports of goods and services (% of GDP)|2011"/>
  </r>
  <r>
    <x v="1"/>
    <s v="IND"/>
    <x v="6"/>
    <s v="NE.EXP.GNFS.ZS"/>
    <x v="2"/>
    <n v="24.534430661417986"/>
    <s v="India|Exports of goods and services (% of GDP)|2012"/>
  </r>
  <r>
    <x v="1"/>
    <s v="IND"/>
    <x v="6"/>
    <s v="NE.EXP.GNFS.ZS"/>
    <x v="3"/>
    <n v="25.430861300519041"/>
    <s v="India|Exports of goods and services (% of GDP)|2013"/>
  </r>
  <r>
    <x v="1"/>
    <s v="IND"/>
    <x v="6"/>
    <s v="NE.EXP.GNFS.ZS"/>
    <x v="4"/>
    <n v="22.967963008117241"/>
    <s v="India|Exports of goods and services (% of GDP)|2014"/>
  </r>
  <r>
    <x v="1"/>
    <s v="IND"/>
    <x v="6"/>
    <s v="NE.EXP.GNFS.ZS"/>
    <x v="5"/>
    <n v="19.813189156404547"/>
    <s v="India|Exports of goods and services (% of GDP)|2015"/>
  </r>
  <r>
    <x v="1"/>
    <s v="IND"/>
    <x v="6"/>
    <s v="NE.EXP.GNFS.ZS"/>
    <x v="6"/>
    <n v="19.158234910594622"/>
    <s v="India|Exports of goods and services (% of GDP)|2016"/>
  </r>
  <r>
    <x v="1"/>
    <s v="IND"/>
    <x v="6"/>
    <s v="NE.EXP.GNFS.ZS"/>
    <x v="7"/>
    <n v="18.791764839298228"/>
    <s v="India|Exports of goods and services (% of GDP)|2017"/>
  </r>
  <r>
    <x v="1"/>
    <s v="IND"/>
    <x v="6"/>
    <s v="NE.EXP.GNFS.ZS"/>
    <x v="8"/>
    <n v="19.927828598856166"/>
    <s v="India|Exports of goods and services (% of GDP)|2018"/>
  </r>
  <r>
    <x v="1"/>
    <s v="IND"/>
    <x v="6"/>
    <s v="NE.EXP.GNFS.ZS"/>
    <x v="9"/>
    <n v="18.664264897257034"/>
    <s v="India|Exports of goods and services (% of GDP)|2019"/>
  </r>
  <r>
    <x v="1"/>
    <s v="IND"/>
    <x v="6"/>
    <s v="NE.EXP.GNFS.ZS"/>
    <x v="10"/>
    <n v="18.682476929675566"/>
    <s v="India|Exports of goods and services (% of GDP)|2020"/>
  </r>
  <r>
    <x v="1"/>
    <s v="IND"/>
    <x v="6"/>
    <s v="NE.EXP.GNFS.ZS"/>
    <x v="11"/>
    <n v="21.399158330551472"/>
    <s v="India|Exports of goods and services (% of GDP)|2021"/>
  </r>
  <r>
    <x v="1"/>
    <s v="IND"/>
    <x v="6"/>
    <s v="NE.EXP.GNFS.ZS"/>
    <x v="12"/>
    <n v="24.040171636595637"/>
    <s v="India|Exports of goods and services (% of GDP)|2022"/>
  </r>
  <r>
    <x v="1"/>
    <s v="IND"/>
    <x v="6"/>
    <s v="NE.EXP.GNFS.ZS"/>
    <x v="13"/>
    <n v="22.354801966733017"/>
    <s v="India|Exports of goods and services (% of GDP)|2023"/>
  </r>
  <r>
    <x v="1"/>
    <s v="IND"/>
    <x v="6"/>
    <s v="NE.EXP.GNFS.ZS"/>
    <x v="14"/>
    <n v="22.063981635439902"/>
    <s v="India|Exports of goods and services (% of GDP)|2024"/>
  </r>
  <r>
    <x v="1"/>
    <s v="IND"/>
    <x v="6"/>
    <s v="NE.EXP.GNFS.ZS"/>
    <x v="15"/>
    <n v="22.263041066980399"/>
    <s v="India|Exports of goods and services (% of GDP)|2025"/>
  </r>
  <r>
    <x v="1"/>
    <s v="IND"/>
    <x v="7"/>
    <s v="NE.IMP.GNFS.ZS"/>
    <x v="0"/>
    <n v="26.854273248621642"/>
    <s v="India|Imports of goods and services (% of GDP)|2010"/>
  </r>
  <r>
    <x v="1"/>
    <s v="IND"/>
    <x v="7"/>
    <s v="NE.IMP.GNFS.ZS"/>
    <x v="1"/>
    <n v="31.083468693958476"/>
    <s v="India|Imports of goods and services (% of GDP)|2011"/>
  </r>
  <r>
    <x v="1"/>
    <s v="IND"/>
    <x v="7"/>
    <s v="NE.IMP.GNFS.ZS"/>
    <x v="2"/>
    <n v="31.259291067333162"/>
    <s v="India|Imports of goods and services (% of GDP)|2012"/>
  </r>
  <r>
    <x v="1"/>
    <s v="IND"/>
    <x v="7"/>
    <s v="NE.IMP.GNFS.ZS"/>
    <x v="3"/>
    <n v="28.413270646158683"/>
    <s v="India|Imports of goods and services (% of GDP)|2013"/>
  </r>
  <r>
    <x v="1"/>
    <s v="IND"/>
    <x v="7"/>
    <s v="NE.IMP.GNFS.ZS"/>
    <x v="4"/>
    <n v="25.954222738949667"/>
    <s v="India|Imports of goods and services (% of GDP)|2014"/>
  </r>
  <r>
    <x v="1"/>
    <s v="IND"/>
    <x v="7"/>
    <s v="NE.IMP.GNFS.ZS"/>
    <x v="5"/>
    <n v="22.109724709460167"/>
    <s v="India|Imports of goods and services (% of GDP)|2015"/>
  </r>
  <r>
    <x v="1"/>
    <s v="IND"/>
    <x v="7"/>
    <s v="NE.IMP.GNFS.ZS"/>
    <x v="6"/>
    <n v="20.924250802681399"/>
    <s v="India|Imports of goods and services (% of GDP)|2016"/>
  </r>
  <r>
    <x v="1"/>
    <s v="IND"/>
    <x v="7"/>
    <s v="NE.IMP.GNFS.ZS"/>
    <x v="7"/>
    <n v="21.950732115224302"/>
    <s v="India|Imports of goods and services (% of GDP)|2017"/>
  </r>
  <r>
    <x v="1"/>
    <s v="IND"/>
    <x v="7"/>
    <s v="NE.IMP.GNFS.ZS"/>
    <x v="8"/>
    <n v="23.689140733532724"/>
    <s v="India|Imports of goods and services (% of GDP)|2018"/>
  </r>
  <r>
    <x v="1"/>
    <s v="IND"/>
    <x v="7"/>
    <s v="NE.IMP.GNFS.ZS"/>
    <x v="9"/>
    <n v="21.241138633387159"/>
    <s v="India|Imports of goods and services (% of GDP)|2019"/>
  </r>
  <r>
    <x v="1"/>
    <s v="IND"/>
    <x v="7"/>
    <s v="NE.IMP.GNFS.ZS"/>
    <x v="10"/>
    <n v="19.075628399601189"/>
    <s v="India|Imports of goods and services (% of GDP)|2020"/>
  </r>
  <r>
    <x v="1"/>
    <s v="IND"/>
    <x v="7"/>
    <s v="NE.IMP.GNFS.ZS"/>
    <x v="11"/>
    <n v="24.023930453493126"/>
    <s v="India|Imports of goods and services (% of GDP)|2021"/>
  </r>
  <r>
    <x v="1"/>
    <s v="IND"/>
    <x v="7"/>
    <s v="NE.IMP.GNFS.ZS"/>
    <x v="12"/>
    <n v="26.657766639208596"/>
    <s v="India|Imports of goods and services (% of GDP)|2022"/>
  </r>
  <r>
    <x v="1"/>
    <s v="IND"/>
    <x v="7"/>
    <s v="NE.IMP.GNFS.ZS"/>
    <x v="13"/>
    <n v="23.968150091500824"/>
    <s v="India|Imports of goods and services (% of GDP)|2023"/>
  </r>
  <r>
    <x v="1"/>
    <s v="IND"/>
    <x v="7"/>
    <s v="NE.IMP.GNFS.ZS"/>
    <x v="14"/>
    <n v="23.852709132434917"/>
    <s v="India|Imports of goods and services (% of GDP)|2024"/>
  </r>
  <r>
    <x v="1"/>
    <s v="IND"/>
    <x v="7"/>
    <s v="NE.IMP.GNFS.ZS"/>
    <x v="15"/>
    <n v="24.005159619010332"/>
    <s v="India|Imports of goods and services (% of GDP)|2025"/>
  </r>
  <r>
    <x v="1"/>
    <s v="IND"/>
    <x v="8"/>
    <s v="BX.KLT.DINV.CD.WD"/>
    <x v="0"/>
    <n v="27396885033.783798"/>
    <s v="India|Foreign direct investment, net inflows (BoP, current US$)|2010"/>
  </r>
  <r>
    <x v="1"/>
    <s v="IND"/>
    <x v="8"/>
    <s v="BX.KLT.DINV.CD.WD"/>
    <x v="1"/>
    <n v="36498654597.858902"/>
    <s v="India|Foreign direct investment, net inflows (BoP, current US$)|2011"/>
  </r>
  <r>
    <x v="1"/>
    <s v="IND"/>
    <x v="8"/>
    <s v="BX.KLT.DINV.CD.WD"/>
    <x v="2"/>
    <n v="23995685014.2141"/>
    <s v="India|Foreign direct investment, net inflows (BoP, current US$)|2012"/>
  </r>
  <r>
    <x v="1"/>
    <s v="IND"/>
    <x v="8"/>
    <s v="BX.KLT.DINV.CD.WD"/>
    <x v="3"/>
    <n v="28153031270.320202"/>
    <s v="India|Foreign direct investment, net inflows (BoP, current US$)|2013"/>
  </r>
  <r>
    <x v="1"/>
    <s v="IND"/>
    <x v="8"/>
    <s v="BX.KLT.DINV.CD.WD"/>
    <x v="4"/>
    <n v="34576643694.138199"/>
    <s v="India|Foreign direct investment, net inflows (BoP, current US$)|2014"/>
  </r>
  <r>
    <x v="1"/>
    <s v="IND"/>
    <x v="8"/>
    <s v="BX.KLT.DINV.CD.WD"/>
    <x v="5"/>
    <n v="44009492129.531898"/>
    <s v="India|Foreign direct investment, net inflows (BoP, current US$)|2015"/>
  </r>
  <r>
    <x v="1"/>
    <s v="IND"/>
    <x v="8"/>
    <s v="BX.KLT.DINV.CD.WD"/>
    <x v="6"/>
    <n v="44458571545.797997"/>
    <s v="India|Foreign direct investment, net inflows (BoP, current US$)|2016"/>
  </r>
  <r>
    <x v="1"/>
    <s v="IND"/>
    <x v="8"/>
    <s v="BX.KLT.DINV.CD.WD"/>
    <x v="7"/>
    <n v="39966091358.738403"/>
    <s v="India|Foreign direct investment, net inflows (BoP, current US$)|2017"/>
  </r>
  <r>
    <x v="1"/>
    <s v="IND"/>
    <x v="8"/>
    <s v="BX.KLT.DINV.CD.WD"/>
    <x v="8"/>
    <n v="42117450737.264397"/>
    <s v="India|Foreign direct investment, net inflows (BoP, current US$)|2018"/>
  </r>
  <r>
    <x v="1"/>
    <s v="IND"/>
    <x v="8"/>
    <s v="BX.KLT.DINV.CD.WD"/>
    <x v="9"/>
    <n v="50610647353.591103"/>
    <s v="India|Foreign direct investment, net inflows (BoP, current US$)|2019"/>
  </r>
  <r>
    <x v="1"/>
    <s v="IND"/>
    <x v="8"/>
    <s v="BX.KLT.DINV.CD.WD"/>
    <x v="10"/>
    <n v="64362364994.375397"/>
    <s v="India|Foreign direct investment, net inflows (BoP, current US$)|2020"/>
  </r>
  <r>
    <x v="1"/>
    <s v="IND"/>
    <x v="8"/>
    <s v="BX.KLT.DINV.CD.WD"/>
    <x v="11"/>
    <n v="44727277562.880997"/>
    <s v="India|Foreign direct investment, net inflows (BoP, current US$)|2021"/>
  </r>
  <r>
    <x v="1"/>
    <s v="IND"/>
    <x v="8"/>
    <s v="BX.KLT.DINV.CD.WD"/>
    <x v="12"/>
    <n v="49940258404.2659"/>
    <s v="India|Foreign direct investment, net inflows (BoP, current US$)|2022"/>
  </r>
  <r>
    <x v="1"/>
    <s v="IND"/>
    <x v="8"/>
    <s v="BX.KLT.DINV.CD.WD"/>
    <x v="13"/>
    <n v="28086193530.3979"/>
    <s v="India|Foreign direct investment, net inflows (BoP, current US$)|2023"/>
  </r>
  <r>
    <x v="1"/>
    <s v="IND"/>
    <x v="8"/>
    <s v="BX.KLT.DINV.CD.WD"/>
    <x v="14"/>
    <n v="27139853378.140202"/>
    <s v="India|Foreign direct investment, net inflows (BoP, current US$)|2024"/>
  </r>
  <r>
    <x v="1"/>
    <s v="IND"/>
    <x v="8"/>
    <s v="BX.KLT.DINV.CD.WD"/>
    <x v="15"/>
    <n v="39097233086.213303"/>
    <s v="India|Foreign direct investment, net inflows (BoP, current US$)|2025"/>
  </r>
  <r>
    <x v="1"/>
    <s v="IND"/>
    <x v="9"/>
    <s v="SP.POP.TOTL"/>
    <x v="0"/>
    <n v="1243481564"/>
    <s v="India|Population, total|2010"/>
  </r>
  <r>
    <x v="1"/>
    <s v="IND"/>
    <x v="9"/>
    <s v="SP.POP.TOTL"/>
    <x v="1"/>
    <n v="1261224954"/>
    <s v="India|Population, total|2011"/>
  </r>
  <r>
    <x v="1"/>
    <s v="IND"/>
    <x v="9"/>
    <s v="SP.POP.TOTL"/>
    <x v="2"/>
    <n v="1278674502"/>
    <s v="India|Population, total|2012"/>
  </r>
  <r>
    <x v="1"/>
    <s v="IND"/>
    <x v="9"/>
    <s v="SP.POP.TOTL"/>
    <x v="3"/>
    <n v="1295829511"/>
    <s v="India|Population, total|2013"/>
  </r>
  <r>
    <x v="1"/>
    <s v="IND"/>
    <x v="9"/>
    <s v="SP.POP.TOTL"/>
    <x v="4"/>
    <n v="1312277191"/>
    <s v="India|Population, total|2014"/>
  </r>
  <r>
    <x v="1"/>
    <s v="IND"/>
    <x v="9"/>
    <s v="SP.POP.TOTL"/>
    <x v="5"/>
    <n v="1328024498"/>
    <s v="India|Population, total|2015"/>
  </r>
  <r>
    <x v="1"/>
    <s v="IND"/>
    <x v="9"/>
    <s v="SP.POP.TOTL"/>
    <x v="6"/>
    <n v="1343944296"/>
    <s v="India|Population, total|2016"/>
  </r>
  <r>
    <x v="1"/>
    <s v="IND"/>
    <x v="9"/>
    <s v="SP.POP.TOTL"/>
    <x v="7"/>
    <n v="1359657400"/>
    <s v="India|Population, total|2017"/>
  </r>
  <r>
    <x v="1"/>
    <s v="IND"/>
    <x v="9"/>
    <s v="SP.POP.TOTL"/>
    <x v="8"/>
    <n v="1374659064"/>
    <s v="India|Population, total|2018"/>
  </r>
  <r>
    <x v="1"/>
    <s v="IND"/>
    <x v="9"/>
    <s v="SP.POP.TOTL"/>
    <x v="9"/>
    <n v="1389030312"/>
    <s v="India|Population, total|2019"/>
  </r>
  <r>
    <x v="1"/>
    <s v="IND"/>
    <x v="9"/>
    <s v="SP.POP.TOTL"/>
    <x v="10"/>
    <n v="1402617695"/>
    <s v="India|Population, total|2020"/>
  </r>
  <r>
    <x v="1"/>
    <s v="IND"/>
    <x v="9"/>
    <s v="SP.POP.TOTL"/>
    <x v="11"/>
    <n v="1414203896"/>
    <s v="India|Population, total|2021"/>
  </r>
  <r>
    <x v="1"/>
    <s v="IND"/>
    <x v="9"/>
    <s v="SP.POP.TOTL"/>
    <x v="12"/>
    <n v="1425423212"/>
    <s v="India|Population, total|2022"/>
  </r>
  <r>
    <x v="1"/>
    <s v="IND"/>
    <x v="9"/>
    <s v="SP.POP.TOTL"/>
    <x v="13"/>
    <n v="1438069596"/>
    <s v="India|Population, total|2023"/>
  </r>
  <r>
    <x v="1"/>
    <s v="IND"/>
    <x v="9"/>
    <s v="SP.POP.TOTL"/>
    <x v="14"/>
    <n v="1450935791"/>
    <s v="India|Population, total|2024"/>
  </r>
  <r>
    <x v="1"/>
    <s v="IND"/>
    <x v="9"/>
    <s v="SP.POP.TOTL"/>
    <x v="15"/>
    <n v="1463865525"/>
    <s v="India|Population, total|2025"/>
  </r>
  <r>
    <x v="2"/>
    <s v="CHN"/>
    <x v="0"/>
    <s v="NY.GDP.MKTP.CD"/>
    <x v="0"/>
    <n v="6192564874453.29"/>
    <s v="China|GDP (current US$)|2010"/>
  </r>
  <r>
    <x v="2"/>
    <s v="CHN"/>
    <x v="0"/>
    <s v="NY.GDP.MKTP.CD"/>
    <x v="1"/>
    <n v="7671757207851.2891"/>
    <s v="China|GDP (current US$)|2011"/>
  </r>
  <r>
    <x v="2"/>
    <s v="CHN"/>
    <x v="0"/>
    <s v="NY.GDP.MKTP.CD"/>
    <x v="2"/>
    <n v="8673664713189.2441"/>
    <s v="China|GDP (current US$)|2012"/>
  </r>
  <r>
    <x v="2"/>
    <s v="CHN"/>
    <x v="0"/>
    <s v="NY.GDP.MKTP.CD"/>
    <x v="3"/>
    <n v="9743124247267.2441"/>
    <s v="China|GDP (current US$)|2013"/>
  </r>
  <r>
    <x v="2"/>
    <s v="CHN"/>
    <x v="0"/>
    <s v="NY.GDP.MKTP.CD"/>
    <x v="4"/>
    <n v="10674533168257.361"/>
    <s v="China|GDP (current US$)|2014"/>
  </r>
  <r>
    <x v="2"/>
    <s v="CHN"/>
    <x v="0"/>
    <s v="NY.GDP.MKTP.CD"/>
    <x v="5"/>
    <n v="11280814787468.914"/>
    <s v="China|GDP (current US$)|2015"/>
  </r>
  <r>
    <x v="2"/>
    <s v="CHN"/>
    <x v="0"/>
    <s v="NY.GDP.MKTP.CD"/>
    <x v="6"/>
    <n v="11456024084961.979"/>
    <s v="China|GDP (current US$)|2016"/>
  </r>
  <r>
    <x v="2"/>
    <s v="CHN"/>
    <x v="0"/>
    <s v="NY.GDP.MKTP.CD"/>
    <x v="7"/>
    <n v="12537559062282.92"/>
    <s v="China|GDP (current US$)|2017"/>
  </r>
  <r>
    <x v="2"/>
    <s v="CHN"/>
    <x v="0"/>
    <s v="NY.GDP.MKTP.CD"/>
    <x v="8"/>
    <n v="14147765772963.76"/>
    <s v="China|GDP (current US$)|2018"/>
  </r>
  <r>
    <x v="2"/>
    <s v="CHN"/>
    <x v="0"/>
    <s v="NY.GDP.MKTP.CD"/>
    <x v="9"/>
    <n v="14560167101283.439"/>
    <s v="China|GDP (current US$)|2019"/>
  </r>
  <r>
    <x v="2"/>
    <s v="CHN"/>
    <x v="0"/>
    <s v="NY.GDP.MKTP.CD"/>
    <x v="10"/>
    <n v="14996414166715.092"/>
    <s v="China|GDP (current US$)|2020"/>
  </r>
  <r>
    <x v="2"/>
    <s v="CHN"/>
    <x v="0"/>
    <s v="NY.GDP.MKTP.CD"/>
    <x v="11"/>
    <n v="18201698719563.961"/>
    <s v="China|GDP (current US$)|2021"/>
  </r>
  <r>
    <x v="2"/>
    <s v="CHN"/>
    <x v="0"/>
    <s v="NY.GDP.MKTP.CD"/>
    <x v="12"/>
    <n v="18316765021690.156"/>
    <s v="China|GDP (current US$)|2022"/>
  </r>
  <r>
    <x v="2"/>
    <s v="CHN"/>
    <x v="0"/>
    <s v="NY.GDP.MKTP.CD"/>
    <x v="13"/>
    <n v="18270356654533.215"/>
    <s v="China|GDP (current US$)|2023"/>
  </r>
  <r>
    <x v="2"/>
    <s v="CHN"/>
    <x v="0"/>
    <s v="NY.GDP.MKTP.CD"/>
    <x v="14"/>
    <n v="18729668435847.992"/>
    <s v="China|GDP (current US$)|2024"/>
  </r>
  <r>
    <x v="2"/>
    <s v="CHN"/>
    <x v="0"/>
    <s v="NY.GDP.MKTP.CD"/>
    <x v="15"/>
    <n v="19498039388042.609"/>
    <s v="China|GDP (current US$)|2025"/>
  </r>
  <r>
    <x v="2"/>
    <s v="CHN"/>
    <x v="1"/>
    <s v="NY.GDP.MKTP.KD.ZG"/>
    <x v="0"/>
    <n v="10.591690388570441"/>
    <s v="China|GDP growth (annual %)|2010"/>
  </r>
  <r>
    <x v="2"/>
    <s v="CHN"/>
    <x v="1"/>
    <s v="NY.GDP.MKTP.KD.ZG"/>
    <x v="1"/>
    <n v="9.4620524829818606"/>
    <s v="China|GDP growth (annual %)|2011"/>
  </r>
  <r>
    <x v="2"/>
    <s v="CHN"/>
    <x v="1"/>
    <s v="NY.GDP.MKTP.KD.ZG"/>
    <x v="2"/>
    <n v="7.8578201481217036"/>
    <s v="China|GDP growth (annual %)|2012"/>
  </r>
  <r>
    <x v="2"/>
    <s v="CHN"/>
    <x v="1"/>
    <s v="NY.GDP.MKTP.KD.ZG"/>
    <x v="3"/>
    <n v="7.7784295475725713"/>
    <s v="China|GDP growth (annual %)|2013"/>
  </r>
  <r>
    <x v="2"/>
    <s v="CHN"/>
    <x v="1"/>
    <s v="NY.GDP.MKTP.KD.ZG"/>
    <x v="4"/>
    <n v="7.4610073577816109"/>
    <s v="China|GDP growth (annual %)|2014"/>
  </r>
  <r>
    <x v="2"/>
    <s v="CHN"/>
    <x v="1"/>
    <s v="NY.GDP.MKTP.KD.ZG"/>
    <x v="5"/>
    <n v="6.9816225556236731"/>
    <s v="China|GDP growth (annual %)|2015"/>
  </r>
  <r>
    <x v="2"/>
    <s v="CHN"/>
    <x v="1"/>
    <s v="NY.GDP.MKTP.KD.ZG"/>
    <x v="6"/>
    <n v="6.7736886867727009"/>
    <s v="China|GDP growth (annual %)|2016"/>
  </r>
  <r>
    <x v="2"/>
    <s v="CHN"/>
    <x v="1"/>
    <s v="NY.GDP.MKTP.KD.ZG"/>
    <x v="7"/>
    <n v="6.8912391663619132"/>
    <s v="China|GDP growth (annual %)|2017"/>
  </r>
  <r>
    <x v="2"/>
    <s v="CHN"/>
    <x v="1"/>
    <s v="NY.GDP.MKTP.KD.ZG"/>
    <x v="8"/>
    <n v="6.7578061423240001"/>
    <s v="China|GDP growth (annual %)|2018"/>
  </r>
  <r>
    <x v="2"/>
    <s v="CHN"/>
    <x v="1"/>
    <s v="NY.GDP.MKTP.KD.ZG"/>
    <x v="9"/>
    <n v="6.0673780633367187"/>
    <s v="China|GDP growth (annual %)|2019"/>
  </r>
  <r>
    <x v="2"/>
    <s v="CHN"/>
    <x v="1"/>
    <s v="NY.GDP.MKTP.KD.ZG"/>
    <x v="10"/>
    <n v="2.3395038520302336"/>
    <s v="China|GDP growth (annual %)|2020"/>
  </r>
  <r>
    <x v="2"/>
    <s v="CHN"/>
    <x v="1"/>
    <s v="NY.GDP.MKTP.KD.ZG"/>
    <x v="11"/>
    <n v="8.5703841498178122"/>
    <s v="China|GDP growth (annual %)|2021"/>
  </r>
  <r>
    <x v="2"/>
    <s v="CHN"/>
    <x v="1"/>
    <s v="NY.GDP.MKTP.KD.ZG"/>
    <x v="12"/>
    <n v="3.1338543839406867"/>
    <s v="China|GDP growth (annual %)|2022"/>
  </r>
  <r>
    <x v="2"/>
    <s v="CHN"/>
    <x v="1"/>
    <s v="NY.GDP.MKTP.KD.ZG"/>
    <x v="13"/>
    <n v="5.4160033449295497"/>
    <s v="China|GDP growth (annual %)|2023"/>
  </r>
  <r>
    <x v="2"/>
    <s v="CHN"/>
    <x v="1"/>
    <s v="NY.GDP.MKTP.KD.ZG"/>
    <x v="14"/>
    <n v="4.958303787880908"/>
    <s v="China|GDP growth (annual %)|2024"/>
  </r>
  <r>
    <x v="2"/>
    <s v="CHN"/>
    <x v="1"/>
    <s v="NY.GDP.MKTP.KD.ZG"/>
    <x v="15"/>
    <n v="4.9599488624099166"/>
    <s v="China|GDP growth (annual %)|2025"/>
  </r>
  <r>
    <x v="2"/>
    <s v="CHN"/>
    <x v="2"/>
    <s v="FP.CPI.TOTL.ZG"/>
    <x v="0"/>
    <n v="3.1753247526919912"/>
    <s v="China|Inflation, consumer prices (annual %)|2010"/>
  </r>
  <r>
    <x v="2"/>
    <s v="CHN"/>
    <x v="2"/>
    <s v="FP.CPI.TOTL.ZG"/>
    <x v="1"/>
    <n v="5.5538989225749322"/>
    <s v="China|Inflation, consumer prices (annual %)|2011"/>
  </r>
  <r>
    <x v="2"/>
    <s v="CHN"/>
    <x v="2"/>
    <s v="FP.CPI.TOTL.ZG"/>
    <x v="2"/>
    <n v="2.619524326455406"/>
    <s v="China|Inflation, consumer prices (annual %)|2012"/>
  </r>
  <r>
    <x v="2"/>
    <s v="CHN"/>
    <x v="2"/>
    <s v="FP.CPI.TOTL.ZG"/>
    <x v="3"/>
    <n v="2.621050017481148"/>
    <s v="China|Inflation, consumer prices (annual %)|2013"/>
  </r>
  <r>
    <x v="2"/>
    <s v="CHN"/>
    <x v="2"/>
    <s v="FP.CPI.TOTL.ZG"/>
    <x v="4"/>
    <n v="1.921641627885208"/>
    <s v="China|Inflation, consumer prices (annual %)|2014"/>
  </r>
  <r>
    <x v="2"/>
    <s v="CHN"/>
    <x v="2"/>
    <s v="FP.CPI.TOTL.ZG"/>
    <x v="5"/>
    <n v="1.4370238093565479"/>
    <s v="China|Inflation, consumer prices (annual %)|2015"/>
  </r>
  <r>
    <x v="2"/>
    <s v="CHN"/>
    <x v="2"/>
    <s v="FP.CPI.TOTL.ZG"/>
    <x v="6"/>
    <n v="2.000001821919434"/>
    <s v="China|Inflation, consumer prices (annual %)|2016"/>
  </r>
  <r>
    <x v="2"/>
    <s v="CHN"/>
    <x v="2"/>
    <s v="FP.CPI.TOTL.ZG"/>
    <x v="7"/>
    <n v="1.593136000714356"/>
    <s v="China|Inflation, consumer prices (annual %)|2017"/>
  </r>
  <r>
    <x v="2"/>
    <s v="CHN"/>
    <x v="2"/>
    <s v="FP.CPI.TOTL.ZG"/>
    <x v="8"/>
    <n v="2.0747903996557602"/>
    <s v="China|Inflation, consumer prices (annual %)|2018"/>
  </r>
  <r>
    <x v="2"/>
    <s v="CHN"/>
    <x v="2"/>
    <s v="FP.CPI.TOTL.ZG"/>
    <x v="9"/>
    <n v="2.8992341635822672"/>
    <s v="China|Inflation, consumer prices (annual %)|2019"/>
  </r>
  <r>
    <x v="2"/>
    <s v="CHN"/>
    <x v="2"/>
    <s v="FP.CPI.TOTL.ZG"/>
    <x v="10"/>
    <n v="2.4194218945778232"/>
    <s v="China|Inflation, consumer prices (annual %)|2020"/>
  </r>
  <r>
    <x v="2"/>
    <s v="CHN"/>
    <x v="2"/>
    <s v="FP.CPI.TOTL.ZG"/>
    <x v="11"/>
    <n v="0.98101513554488162"/>
    <s v="China|Inflation, consumer prices (annual %)|2021"/>
  </r>
  <r>
    <x v="2"/>
    <s v="CHN"/>
    <x v="2"/>
    <s v="FP.CPI.TOTL.ZG"/>
    <x v="12"/>
    <n v="1.9735755573905061"/>
    <s v="China|Inflation, consumer prices (annual %)|2022"/>
  </r>
  <r>
    <x v="2"/>
    <s v="CHN"/>
    <x v="2"/>
    <s v="FP.CPI.TOTL.ZG"/>
    <x v="13"/>
    <n v="0.2348368288930508"/>
    <s v="China|Inflation, consumer prices (annual %)|2023"/>
  </r>
  <r>
    <x v="2"/>
    <s v="CHN"/>
    <x v="2"/>
    <s v="FP.CPI.TOTL.ZG"/>
    <x v="14"/>
    <n v="0.21812893843917719"/>
    <s v="China|Inflation, consumer prices (annual %)|2024"/>
  </r>
  <r>
    <x v="2"/>
    <s v="CHN"/>
    <x v="2"/>
    <s v="FP.CPI.TOTL.ZG"/>
    <x v="15"/>
    <n v="5.9564691656540263E-2"/>
    <s v="China|Inflation, consumer prices (annual %)|2025"/>
  </r>
  <r>
    <x v="2"/>
    <s v="CHN"/>
    <x v="3"/>
    <s v="SL.UEM.TOTL.ZS"/>
    <x v="0"/>
    <n v="4.53"/>
    <s v="China|Unemployment, total (% of total labor force) (modeled ILO estimate)|2010"/>
  </r>
  <r>
    <x v="2"/>
    <s v="CHN"/>
    <x v="3"/>
    <s v="SL.UEM.TOTL.ZS"/>
    <x v="1"/>
    <n v="4.55"/>
    <s v="China|Unemployment, total (% of total labor force) (modeled ILO estimate)|2011"/>
  </r>
  <r>
    <x v="2"/>
    <s v="CHN"/>
    <x v="3"/>
    <s v="SL.UEM.TOTL.ZS"/>
    <x v="2"/>
    <n v="4.58"/>
    <s v="China|Unemployment, total (% of total labor force) (modeled ILO estimate)|2012"/>
  </r>
  <r>
    <x v="2"/>
    <s v="CHN"/>
    <x v="3"/>
    <s v="SL.UEM.TOTL.ZS"/>
    <x v="3"/>
    <n v="4.5999999999999996"/>
    <s v="China|Unemployment, total (% of total labor force) (modeled ILO estimate)|2013"/>
  </r>
  <r>
    <x v="2"/>
    <s v="CHN"/>
    <x v="3"/>
    <s v="SL.UEM.TOTL.ZS"/>
    <x v="4"/>
    <n v="4.63"/>
    <s v="China|Unemployment, total (% of total labor force) (modeled ILO estimate)|2014"/>
  </r>
  <r>
    <x v="2"/>
    <s v="CHN"/>
    <x v="3"/>
    <s v="SL.UEM.TOTL.ZS"/>
    <x v="5"/>
    <n v="4.6500000000000004"/>
    <s v="China|Unemployment, total (% of total labor force) (modeled ILO estimate)|2015"/>
  </r>
  <r>
    <x v="2"/>
    <s v="CHN"/>
    <x v="3"/>
    <s v="SL.UEM.TOTL.ZS"/>
    <x v="6"/>
    <n v="4.5599999999999996"/>
    <s v="China|Unemployment, total (% of total labor force) (modeled ILO estimate)|2016"/>
  </r>
  <r>
    <x v="2"/>
    <s v="CHN"/>
    <x v="3"/>
    <s v="SL.UEM.TOTL.ZS"/>
    <x v="7"/>
    <n v="4.47"/>
    <s v="China|Unemployment, total (% of total labor force) (modeled ILO estimate)|2017"/>
  </r>
  <r>
    <x v="2"/>
    <s v="CHN"/>
    <x v="3"/>
    <s v="SL.UEM.TOTL.ZS"/>
    <x v="8"/>
    <n v="4.3099999999999996"/>
    <s v="China|Unemployment, total (% of total labor force) (modeled ILO estimate)|2018"/>
  </r>
  <r>
    <x v="2"/>
    <s v="CHN"/>
    <x v="3"/>
    <s v="SL.UEM.TOTL.ZS"/>
    <x v="9"/>
    <n v="4.5599999999999996"/>
    <s v="China|Unemployment, total (% of total labor force) (modeled ILO estimate)|2019"/>
  </r>
  <r>
    <x v="2"/>
    <s v="CHN"/>
    <x v="3"/>
    <s v="SL.UEM.TOTL.ZS"/>
    <x v="10"/>
    <n v="5"/>
    <s v="China|Unemployment, total (% of total labor force) (modeled ILO estimate)|2020"/>
  </r>
  <r>
    <x v="2"/>
    <s v="CHN"/>
    <x v="3"/>
    <s v="SL.UEM.TOTL.ZS"/>
    <x v="11"/>
    <n v="4.55"/>
    <s v="China|Unemployment, total (% of total labor force) (modeled ILO estimate)|2021"/>
  </r>
  <r>
    <x v="2"/>
    <s v="CHN"/>
    <x v="3"/>
    <s v="SL.UEM.TOTL.ZS"/>
    <x v="12"/>
    <n v="4.9800000000000004"/>
    <s v="China|Unemployment, total (% of total labor force) (modeled ILO estimate)|2022"/>
  </r>
  <r>
    <x v="2"/>
    <s v="CHN"/>
    <x v="3"/>
    <s v="SL.UEM.TOTL.ZS"/>
    <x v="13"/>
    <n v="4.67"/>
    <s v="China|Unemployment, total (% of total labor force) (modeled ILO estimate)|2023"/>
  </r>
  <r>
    <x v="2"/>
    <s v="CHN"/>
    <x v="3"/>
    <s v="SL.UEM.TOTL.ZS"/>
    <x v="14"/>
    <n v="4.59"/>
    <s v="China|Unemployment, total (% of total labor force) (modeled ILO estimate)|2024"/>
  </r>
  <r>
    <x v="2"/>
    <s v="CHN"/>
    <x v="3"/>
    <s v="SL.UEM.TOTL.ZS"/>
    <x v="15"/>
    <n v="4.6150000000000002"/>
    <s v="China|Unemployment, total (% of total labor force) (modeled ILO estimate)|2025"/>
  </r>
  <r>
    <x v="2"/>
    <s v="CHN"/>
    <x v="4"/>
    <s v="FR.INR.LEND"/>
    <x v="0"/>
    <n v="5.81"/>
    <s v="China|Lending interest rate (%)|2010"/>
  </r>
  <r>
    <x v="2"/>
    <s v="CHN"/>
    <x v="4"/>
    <s v="FR.INR.LEND"/>
    <x v="1"/>
    <n v="6.56"/>
    <s v="China|Lending interest rate (%)|2011"/>
  </r>
  <r>
    <x v="2"/>
    <s v="CHN"/>
    <x v="4"/>
    <s v="FR.INR.LEND"/>
    <x v="2"/>
    <n v="6"/>
    <s v="China|Lending interest rate (%)|2012"/>
  </r>
  <r>
    <x v="2"/>
    <s v="CHN"/>
    <x v="4"/>
    <s v="FR.INR.LEND"/>
    <x v="3"/>
    <n v="6"/>
    <s v="China|Lending interest rate (%)|2013"/>
  </r>
  <r>
    <x v="2"/>
    <s v="CHN"/>
    <x v="4"/>
    <s v="FR.INR.LEND"/>
    <x v="4"/>
    <n v="5.6"/>
    <s v="China|Lending interest rate (%)|2014"/>
  </r>
  <r>
    <x v="2"/>
    <s v="CHN"/>
    <x v="4"/>
    <s v="FR.INR.LEND"/>
    <x v="5"/>
    <n v="4.3499999999999996"/>
    <s v="China|Lending interest rate (%)|2015"/>
  </r>
  <r>
    <x v="2"/>
    <s v="CHN"/>
    <x v="4"/>
    <s v="FR.INR.LEND"/>
    <x v="6"/>
    <n v="4.3499999999999996"/>
    <s v="China|Lending interest rate (%)|2016"/>
  </r>
  <r>
    <x v="2"/>
    <s v="CHN"/>
    <x v="4"/>
    <s v="FR.INR.LEND"/>
    <x v="7"/>
    <n v="4.3499999999999996"/>
    <s v="China|Lending interest rate (%)|2017"/>
  </r>
  <r>
    <x v="2"/>
    <s v="CHN"/>
    <x v="4"/>
    <s v="FR.INR.LEND"/>
    <x v="8"/>
    <n v="4.3499999999999996"/>
    <s v="China|Lending interest rate (%)|2018"/>
  </r>
  <r>
    <x v="2"/>
    <s v="CHN"/>
    <x v="4"/>
    <s v="FR.INR.LEND"/>
    <x v="9"/>
    <n v="4.3499999999999996"/>
    <s v="China|Lending interest rate (%)|2019"/>
  </r>
  <r>
    <x v="2"/>
    <s v="CHN"/>
    <x v="4"/>
    <s v="FR.INR.LEND"/>
    <x v="10"/>
    <n v="4.3499999999999996"/>
    <s v="China|Lending interest rate (%)|2020"/>
  </r>
  <r>
    <x v="2"/>
    <s v="CHN"/>
    <x v="4"/>
    <s v="FR.INR.LEND"/>
    <x v="11"/>
    <n v="4.3499999999999996"/>
    <s v="China|Lending interest rate (%)|2021"/>
  </r>
  <r>
    <x v="2"/>
    <s v="CHN"/>
    <x v="4"/>
    <s v="FR.INR.LEND"/>
    <x v="12"/>
    <n v="4.3499999999999996"/>
    <s v="China|Lending interest rate (%)|2022"/>
  </r>
  <r>
    <x v="2"/>
    <s v="CHN"/>
    <x v="4"/>
    <s v="FR.INR.LEND"/>
    <x v="13"/>
    <n v="4.3499999999999996"/>
    <s v="China|Lending interest rate (%)|2023"/>
  </r>
  <r>
    <x v="2"/>
    <s v="CHN"/>
    <x v="4"/>
    <s v="FR.INR.LEND"/>
    <x v="14"/>
    <n v="4.3499999999999996"/>
    <s v="China|Lending interest rate (%)|2024"/>
  </r>
  <r>
    <x v="2"/>
    <s v="CHN"/>
    <x v="4"/>
    <s v="FR.INR.LEND"/>
    <x v="15"/>
    <m/>
    <s v="China|Lending interest rate (%)|2025"/>
  </r>
  <r>
    <x v="2"/>
    <s v="CHN"/>
    <x v="5"/>
    <s v="PA.NUS.FCRF"/>
    <x v="0"/>
    <n v="6.7702690287093947"/>
    <s v="China|Official exchange rate (LCU per US$, period average)|2010"/>
  </r>
  <r>
    <x v="2"/>
    <s v="CHN"/>
    <x v="5"/>
    <s v="PA.NUS.FCRF"/>
    <x v="1"/>
    <n v="6.4614613265500704"/>
    <s v="China|Official exchange rate (LCU per US$, period average)|2011"/>
  </r>
  <r>
    <x v="2"/>
    <s v="CHN"/>
    <x v="5"/>
    <s v="PA.NUS.FCRF"/>
    <x v="2"/>
    <n v="6.3123328268318621"/>
    <s v="China|Official exchange rate (LCU per US$, period average)|2012"/>
  </r>
  <r>
    <x v="2"/>
    <s v="CHN"/>
    <x v="5"/>
    <s v="PA.NUS.FCRF"/>
    <x v="3"/>
    <n v="6.19575834608231"/>
    <s v="China|Official exchange rate (LCU per US$, period average)|2013"/>
  </r>
  <r>
    <x v="2"/>
    <s v="CHN"/>
    <x v="5"/>
    <s v="PA.NUS.FCRF"/>
    <x v="4"/>
    <n v="6.1434340944886703"/>
    <s v="China|Official exchange rate (LCU per US$, period average)|2014"/>
  </r>
  <r>
    <x v="2"/>
    <s v="CHN"/>
    <x v="5"/>
    <s v="PA.NUS.FCRF"/>
    <x v="5"/>
    <n v="6.2274886729845482"/>
    <s v="China|Official exchange rate (LCU per US$, period average)|2015"/>
  </r>
  <r>
    <x v="2"/>
    <s v="CHN"/>
    <x v="5"/>
    <s v="PA.NUS.FCRF"/>
    <x v="6"/>
    <n v="6.6444778294468048"/>
    <s v="China|Official exchange rate (LCU per US$, period average)|2016"/>
  </r>
  <r>
    <x v="2"/>
    <s v="CHN"/>
    <x v="5"/>
    <s v="PA.NUS.FCRF"/>
    <x v="7"/>
    <n v="6.758755086335972"/>
    <s v="China|Official exchange rate (LCU per US$, period average)|2017"/>
  </r>
  <r>
    <x v="2"/>
    <s v="CHN"/>
    <x v="5"/>
    <s v="PA.NUS.FCRF"/>
    <x v="8"/>
    <n v="6.6159571773543924"/>
    <s v="China|Official exchange rate (LCU per US$, period average)|2018"/>
  </r>
  <r>
    <x v="2"/>
    <s v="CHN"/>
    <x v="5"/>
    <s v="PA.NUS.FCRF"/>
    <x v="9"/>
    <n v="6.9083850099290123"/>
    <s v="China|Official exchange rate (LCU per US$, period average)|2019"/>
  </r>
  <r>
    <x v="2"/>
    <s v="CHN"/>
    <x v="5"/>
    <s v="PA.NUS.FCRF"/>
    <x v="10"/>
    <n v="6.9007672694492479"/>
    <s v="China|Official exchange rate (LCU per US$, period average)|2020"/>
  </r>
  <r>
    <x v="2"/>
    <s v="CHN"/>
    <x v="5"/>
    <s v="PA.NUS.FCRF"/>
    <x v="11"/>
    <n v="6.4489751802431599"/>
    <s v="China|Official exchange rate (LCU per US$, period average)|2021"/>
  </r>
  <r>
    <x v="2"/>
    <s v="CHN"/>
    <x v="5"/>
    <s v="PA.NUS.FCRF"/>
    <x v="12"/>
    <n v="6.7371581123711879"/>
    <s v="China|Official exchange rate (LCU per US$, period average)|2022"/>
  </r>
  <r>
    <x v="2"/>
    <s v="CHN"/>
    <x v="5"/>
    <s v="PA.NUS.FCRF"/>
    <x v="13"/>
    <n v="7.0839984234363076"/>
    <s v="China|Official exchange rate (LCU per US$, period average)|2023"/>
  </r>
  <r>
    <x v="2"/>
    <s v="CHN"/>
    <x v="5"/>
    <s v="PA.NUS.FCRF"/>
    <x v="14"/>
    <n v="7.1974911078991681"/>
    <s v="China|Official exchange rate (LCU per US$, period average)|2024"/>
  </r>
  <r>
    <x v="2"/>
    <s v="CHN"/>
    <x v="5"/>
    <s v="PA.NUS.FCRF"/>
    <x v="15"/>
    <n v="7.1898473740217099"/>
    <s v="China|Official exchange rate (LCU per US$, period average)|2025"/>
  </r>
  <r>
    <x v="2"/>
    <s v="CHN"/>
    <x v="6"/>
    <s v="NE.EXP.GNFS.ZS"/>
    <x v="0"/>
    <n v="26.72274515024688"/>
    <s v="China|Exports of goods and services (% of GDP)|2010"/>
  </r>
  <r>
    <x v="2"/>
    <s v="CHN"/>
    <x v="6"/>
    <s v="NE.EXP.GNFS.ZS"/>
    <x v="1"/>
    <n v="26.151882894875932"/>
    <s v="China|Exports of goods and services (% of GDP)|2011"/>
  </r>
  <r>
    <x v="2"/>
    <s v="CHN"/>
    <x v="6"/>
    <s v="NE.EXP.GNFS.ZS"/>
    <x v="2"/>
    <n v="25.076704329560012"/>
    <s v="China|Exports of goods and services (% of GDP)|2012"/>
  </r>
  <r>
    <x v="2"/>
    <s v="CHN"/>
    <x v="6"/>
    <s v="NE.EXP.GNFS.ZS"/>
    <x v="3"/>
    <n v="24.163343090585368"/>
    <s v="China|Exports of goods and services (% of GDP)|2013"/>
  </r>
  <r>
    <x v="2"/>
    <s v="CHN"/>
    <x v="6"/>
    <s v="NE.EXP.GNFS.ZS"/>
    <x v="4"/>
    <n v="23.071976694726256"/>
    <s v="China|Exports of goods and services (% of GDP)|2014"/>
  </r>
  <r>
    <x v="2"/>
    <s v="CHN"/>
    <x v="6"/>
    <s v="NE.EXP.GNFS.ZS"/>
    <x v="5"/>
    <n v="20.939064223432641"/>
    <s v="China|Exports of goods and services (% of GDP)|2015"/>
  </r>
  <r>
    <x v="2"/>
    <s v="CHN"/>
    <x v="6"/>
    <s v="NE.EXP.GNFS.ZS"/>
    <x v="6"/>
    <n v="19.203650736541192"/>
    <s v="China|Exports of goods and services (% of GDP)|2016"/>
  </r>
  <r>
    <x v="2"/>
    <s v="CHN"/>
    <x v="6"/>
    <s v="NE.EXP.GNFS.ZS"/>
    <x v="7"/>
    <n v="19.335630165772759"/>
    <s v="China|Exports of goods and services (% of GDP)|2017"/>
  </r>
  <r>
    <x v="2"/>
    <s v="CHN"/>
    <x v="6"/>
    <s v="NE.EXP.GNFS.ZS"/>
    <x v="8"/>
    <n v="18.770519802938026"/>
    <s v="China|Exports of goods and services (% of GDP)|2018"/>
  </r>
  <r>
    <x v="2"/>
    <s v="CHN"/>
    <x v="6"/>
    <s v="NE.EXP.GNFS.ZS"/>
    <x v="9"/>
    <n v="18.139822286405312"/>
    <s v="China|Exports of goods and services (% of GDP)|2019"/>
  </r>
  <r>
    <x v="2"/>
    <s v="CHN"/>
    <x v="6"/>
    <s v="NE.EXP.GNFS.ZS"/>
    <x v="10"/>
    <n v="18.269601380505101"/>
    <s v="China|Exports of goods and services (% of GDP)|2020"/>
  </r>
  <r>
    <x v="2"/>
    <s v="CHN"/>
    <x v="6"/>
    <s v="NE.EXP.GNFS.ZS"/>
    <x v="11"/>
    <n v="19.435055651490899"/>
    <s v="China|Exports of goods and services (% of GDP)|2021"/>
  </r>
  <r>
    <x v="2"/>
    <s v="CHN"/>
    <x v="6"/>
    <s v="NE.EXP.GNFS.ZS"/>
    <x v="12"/>
    <n v="20.227756033041029"/>
    <s v="China|Exports of goods and services (% of GDP)|2022"/>
  </r>
  <r>
    <x v="2"/>
    <s v="CHN"/>
    <x v="6"/>
    <s v="NE.EXP.GNFS.ZS"/>
    <x v="13"/>
    <n v="19.402309164837643"/>
    <s v="China|Exports of goods and services (% of GDP)|2023"/>
  </r>
  <r>
    <x v="2"/>
    <s v="CHN"/>
    <x v="6"/>
    <s v="NE.EXP.GNFS.ZS"/>
    <x v="14"/>
    <n v="20.442828366589119"/>
    <s v="China|Exports of goods and services (% of GDP)|2024"/>
  </r>
  <r>
    <x v="2"/>
    <s v="CHN"/>
    <x v="6"/>
    <s v="NE.EXP.GNFS.ZS"/>
    <x v="15"/>
    <n v="21.071198356677236"/>
    <s v="China|Exports of goods and services (% of GDP)|2025"/>
  </r>
  <r>
    <x v="2"/>
    <s v="CHN"/>
    <x v="7"/>
    <s v="NE.IMP.GNFS.ZS"/>
    <x v="0"/>
    <n v="23.131327083650863"/>
    <s v="China|Imports of goods and services (% of GDP)|2010"/>
  </r>
  <r>
    <x v="2"/>
    <s v="CHN"/>
    <x v="7"/>
    <s v="NE.IMP.GNFS.ZS"/>
    <x v="1"/>
    <n v="23.793944330488376"/>
    <s v="China|Imports of goods and services (% of GDP)|2011"/>
  </r>
  <r>
    <x v="2"/>
    <s v="CHN"/>
    <x v="7"/>
    <s v="NE.IMP.GNFS.ZS"/>
    <x v="2"/>
    <n v="22.403508748871712"/>
    <s v="China|Imports of goods and services (% of GDP)|2012"/>
  </r>
  <r>
    <x v="2"/>
    <s v="CHN"/>
    <x v="7"/>
    <s v="NE.IMP.GNFS.ZS"/>
    <x v="3"/>
    <n v="21.752698288971747"/>
    <s v="China|Imports of goods and services (% of GDP)|2013"/>
  </r>
  <r>
    <x v="2"/>
    <s v="CHN"/>
    <x v="7"/>
    <s v="NE.IMP.GNFS.ZS"/>
    <x v="4"/>
    <n v="20.996479786526915"/>
    <s v="China|Imports of goods and services (% of GDP)|2014"/>
  </r>
  <r>
    <x v="2"/>
    <s v="CHN"/>
    <x v="7"/>
    <s v="NE.IMP.GNFS.ZS"/>
    <x v="5"/>
    <n v="17.758120612829824"/>
    <s v="China|Imports of goods and services (% of GDP)|2015"/>
  </r>
  <r>
    <x v="2"/>
    <s v="CHN"/>
    <x v="7"/>
    <s v="NE.IMP.GNFS.ZS"/>
    <x v="6"/>
    <n v="16.973519956436803"/>
    <s v="China|Imports of goods and services (% of GDP)|2016"/>
  </r>
  <r>
    <x v="2"/>
    <s v="CHN"/>
    <x v="7"/>
    <s v="NE.IMP.GNFS.ZS"/>
    <x v="7"/>
    <n v="17.615222450087202"/>
    <s v="China|Imports of goods and services (% of GDP)|2017"/>
  </r>
  <r>
    <x v="2"/>
    <s v="CHN"/>
    <x v="7"/>
    <s v="NE.IMP.GNFS.ZS"/>
    <x v="8"/>
    <n v="18.12386458853382"/>
    <s v="China|Imports of goods and services (% of GDP)|2018"/>
  </r>
  <r>
    <x v="2"/>
    <s v="CHN"/>
    <x v="7"/>
    <s v="NE.IMP.GNFS.ZS"/>
    <x v="9"/>
    <n v="17.314612741735434"/>
    <s v="China|Imports of goods and services (% of GDP)|2019"/>
  </r>
  <r>
    <x v="2"/>
    <s v="CHN"/>
    <x v="7"/>
    <s v="NE.IMP.GNFS.ZS"/>
    <x v="10"/>
    <n v="16.068177093378903"/>
    <s v="China|Imports of goods and services (% of GDP)|2020"/>
  </r>
  <r>
    <x v="2"/>
    <s v="CHN"/>
    <x v="7"/>
    <s v="NE.IMP.GNFS.ZS"/>
    <x v="11"/>
    <n v="17.207823312884482"/>
    <s v="China|Imports of goods and services (% of GDP)|2021"/>
  </r>
  <r>
    <x v="2"/>
    <s v="CHN"/>
    <x v="7"/>
    <s v="NE.IMP.GNFS.ZS"/>
    <x v="12"/>
    <n v="17.284799645130011"/>
    <s v="China|Imports of goods and services (% of GDP)|2022"/>
  </r>
  <r>
    <x v="2"/>
    <s v="CHN"/>
    <x v="7"/>
    <s v="NE.IMP.GNFS.ZS"/>
    <x v="13"/>
    <n v="17.336840529001755"/>
    <s v="China|Imports of goods and services (% of GDP)|2023"/>
  </r>
  <r>
    <x v="2"/>
    <s v="CHN"/>
    <x v="7"/>
    <s v="NE.IMP.GNFS.ZS"/>
    <x v="14"/>
    <n v="17.513231770665268"/>
    <s v="China|Imports of goods and services (% of GDP)|2024"/>
  </r>
  <r>
    <x v="2"/>
    <s v="CHN"/>
    <x v="7"/>
    <s v="NE.IMP.GNFS.ZS"/>
    <x v="15"/>
    <n v="16.885189508553946"/>
    <s v="China|Imports of goods and services (% of GDP)|2025"/>
  </r>
  <r>
    <x v="2"/>
    <s v="CHN"/>
    <x v="8"/>
    <s v="BX.KLT.DINV.CD.WD"/>
    <x v="0"/>
    <n v="243703434558.177"/>
    <s v="China|Foreign direct investment, net inflows (BoP, current US$)|2010"/>
  </r>
  <r>
    <x v="2"/>
    <s v="CHN"/>
    <x v="8"/>
    <s v="BX.KLT.DINV.CD.WD"/>
    <x v="1"/>
    <n v="280072219149.93402"/>
    <s v="China|Foreign direct investment, net inflows (BoP, current US$)|2011"/>
  </r>
  <r>
    <x v="2"/>
    <s v="CHN"/>
    <x v="8"/>
    <s v="BX.KLT.DINV.CD.WD"/>
    <x v="2"/>
    <n v="241213868161.42001"/>
    <s v="China|Foreign direct investment, net inflows (BoP, current US$)|2012"/>
  </r>
  <r>
    <x v="2"/>
    <s v="CHN"/>
    <x v="8"/>
    <s v="BX.KLT.DINV.CD.WD"/>
    <x v="3"/>
    <n v="290928431467.00299"/>
    <s v="China|Foreign direct investment, net inflows (BoP, current US$)|2013"/>
  </r>
  <r>
    <x v="2"/>
    <s v="CHN"/>
    <x v="8"/>
    <s v="BX.KLT.DINV.CD.WD"/>
    <x v="4"/>
    <n v="268097181064.33499"/>
    <s v="China|Foreign direct investment, net inflows (BoP, current US$)|2014"/>
  </r>
  <r>
    <x v="2"/>
    <s v="CHN"/>
    <x v="8"/>
    <s v="BX.KLT.DINV.CD.WD"/>
    <x v="5"/>
    <n v="242489331627.39801"/>
    <s v="China|Foreign direct investment, net inflows (BoP, current US$)|2015"/>
  </r>
  <r>
    <x v="2"/>
    <s v="CHN"/>
    <x v="8"/>
    <s v="BX.KLT.DINV.CD.WD"/>
    <x v="6"/>
    <n v="174749584584.04999"/>
    <s v="China|Foreign direct investment, net inflows (BoP, current US$)|2016"/>
  </r>
  <r>
    <x v="2"/>
    <s v="CHN"/>
    <x v="8"/>
    <s v="BX.KLT.DINV.CD.WD"/>
    <x v="7"/>
    <n v="166083755721.64801"/>
    <s v="China|Foreign direct investment, net inflows (BoP, current US$)|2017"/>
  </r>
  <r>
    <x v="2"/>
    <s v="CHN"/>
    <x v="8"/>
    <s v="BX.KLT.DINV.CD.WD"/>
    <x v="8"/>
    <n v="235365050036.341"/>
    <s v="China|Foreign direct investment, net inflows (BoP, current US$)|2018"/>
  </r>
  <r>
    <x v="2"/>
    <s v="CHN"/>
    <x v="8"/>
    <s v="BX.KLT.DINV.CD.WD"/>
    <x v="9"/>
    <n v="187169822364.755"/>
    <s v="China|Foreign direct investment, net inflows (BoP, current US$)|2019"/>
  </r>
  <r>
    <x v="2"/>
    <s v="CHN"/>
    <x v="8"/>
    <s v="BX.KLT.DINV.CD.WD"/>
    <x v="10"/>
    <n v="253095616058.57999"/>
    <s v="China|Foreign direct investment, net inflows (BoP, current US$)|2020"/>
  </r>
  <r>
    <x v="2"/>
    <s v="CHN"/>
    <x v="8"/>
    <s v="BX.KLT.DINV.CD.WD"/>
    <x v="11"/>
    <n v="344074977062.47998"/>
    <s v="China|Foreign direct investment, net inflows (BoP, current US$)|2021"/>
  </r>
  <r>
    <x v="2"/>
    <s v="CHN"/>
    <x v="8"/>
    <s v="BX.KLT.DINV.CD.WD"/>
    <x v="12"/>
    <n v="190203789092.51001"/>
    <s v="China|Foreign direct investment, net inflows (BoP, current US$)|2022"/>
  </r>
  <r>
    <x v="2"/>
    <s v="CHN"/>
    <x v="8"/>
    <s v="BX.KLT.DINV.CD.WD"/>
    <x v="13"/>
    <n v="51338076801.589996"/>
    <s v="China|Foreign direct investment, net inflows (BoP, current US$)|2023"/>
  </r>
  <r>
    <x v="2"/>
    <s v="CHN"/>
    <x v="8"/>
    <s v="BX.KLT.DINV.CD.WD"/>
    <x v="14"/>
    <n v="42646542014.57"/>
    <s v="China|Foreign direct investment, net inflows (BoP, current US$)|2024"/>
  </r>
  <r>
    <x v="2"/>
    <s v="CHN"/>
    <x v="8"/>
    <s v="BX.KLT.DINV.CD.WD"/>
    <x v="15"/>
    <n v="79979865650.020004"/>
    <s v="China|Foreign direct investment, net inflows (BoP, current US$)|2025"/>
  </r>
  <r>
    <x v="2"/>
    <s v="CHN"/>
    <x v="9"/>
    <s v="SP.POP.TOTL"/>
    <x v="0"/>
    <n v="1337705000"/>
    <s v="China|Population, total|2010"/>
  </r>
  <r>
    <x v="2"/>
    <s v="CHN"/>
    <x v="9"/>
    <s v="SP.POP.TOTL"/>
    <x v="1"/>
    <n v="1345035000"/>
    <s v="China|Population, total|2011"/>
  </r>
  <r>
    <x v="2"/>
    <s v="CHN"/>
    <x v="9"/>
    <s v="SP.POP.TOTL"/>
    <x v="2"/>
    <n v="1354190000"/>
    <s v="China|Population, total|2012"/>
  </r>
  <r>
    <x v="2"/>
    <s v="CHN"/>
    <x v="9"/>
    <s v="SP.POP.TOTL"/>
    <x v="3"/>
    <n v="1363240000"/>
    <s v="China|Population, total|2013"/>
  </r>
  <r>
    <x v="2"/>
    <s v="CHN"/>
    <x v="9"/>
    <s v="SP.POP.TOTL"/>
    <x v="4"/>
    <n v="1371860000"/>
    <s v="China|Population, total|2014"/>
  </r>
  <r>
    <x v="2"/>
    <s v="CHN"/>
    <x v="9"/>
    <s v="SP.POP.TOTL"/>
    <x v="5"/>
    <n v="1379860000"/>
    <s v="China|Population, total|2015"/>
  </r>
  <r>
    <x v="2"/>
    <s v="CHN"/>
    <x v="9"/>
    <s v="SP.POP.TOTL"/>
    <x v="6"/>
    <n v="1387790000"/>
    <s v="China|Population, total|2016"/>
  </r>
  <r>
    <x v="2"/>
    <s v="CHN"/>
    <x v="9"/>
    <s v="SP.POP.TOTL"/>
    <x v="7"/>
    <n v="1396215000"/>
    <s v="China|Population, total|2017"/>
  </r>
  <r>
    <x v="2"/>
    <s v="CHN"/>
    <x v="9"/>
    <s v="SP.POP.TOTL"/>
    <x v="8"/>
    <n v="1402760000"/>
    <s v="China|Population, total|2018"/>
  </r>
  <r>
    <x v="2"/>
    <s v="CHN"/>
    <x v="9"/>
    <s v="SP.POP.TOTL"/>
    <x v="9"/>
    <n v="1407745000"/>
    <s v="China|Population, total|2019"/>
  </r>
  <r>
    <x v="2"/>
    <s v="CHN"/>
    <x v="9"/>
    <s v="SP.POP.TOTL"/>
    <x v="10"/>
    <n v="1411100000"/>
    <s v="China|Population, total|2020"/>
  </r>
  <r>
    <x v="2"/>
    <s v="CHN"/>
    <x v="9"/>
    <s v="SP.POP.TOTL"/>
    <x v="11"/>
    <n v="1412360000"/>
    <s v="China|Population, total|2021"/>
  </r>
  <r>
    <x v="2"/>
    <s v="CHN"/>
    <x v="9"/>
    <s v="SP.POP.TOTL"/>
    <x v="12"/>
    <n v="1412175000"/>
    <s v="China|Population, total|2022"/>
  </r>
  <r>
    <x v="2"/>
    <s v="CHN"/>
    <x v="9"/>
    <s v="SP.POP.TOTL"/>
    <x v="13"/>
    <n v="1410710000"/>
    <s v="China|Population, total|2023"/>
  </r>
  <r>
    <x v="2"/>
    <s v="CHN"/>
    <x v="9"/>
    <s v="SP.POP.TOTL"/>
    <x v="14"/>
    <n v="1408975000"/>
    <s v="China|Population, total|2024"/>
  </r>
  <r>
    <x v="2"/>
    <s v="CHN"/>
    <x v="9"/>
    <s v="SP.POP.TOTL"/>
    <x v="15"/>
    <n v="1406585000"/>
    <s v="China|Population, total|2025"/>
  </r>
  <r>
    <x v="3"/>
    <s v="JPN"/>
    <x v="0"/>
    <s v="NY.GDP.MKTP.CD"/>
    <x v="0"/>
    <n v="5811578109447.0684"/>
    <s v="Japan|GDP (current US$)|2010"/>
  </r>
  <r>
    <x v="3"/>
    <s v="JPN"/>
    <x v="0"/>
    <s v="NY.GDP.MKTP.CD"/>
    <x v="1"/>
    <n v="6279422550218.7021"/>
    <s v="Japan|GDP (current US$)|2011"/>
  </r>
  <r>
    <x v="3"/>
    <s v="JPN"/>
    <x v="0"/>
    <s v="NY.GDP.MKTP.CD"/>
    <x v="2"/>
    <n v="6333803928787.7559"/>
    <s v="Japan|GDP (current US$)|2012"/>
  </r>
  <r>
    <x v="3"/>
    <s v="JPN"/>
    <x v="0"/>
    <s v="NY.GDP.MKTP.CD"/>
    <x v="3"/>
    <n v="5272297037396.9639"/>
    <s v="Japan|GDP (current US$)|2013"/>
  </r>
  <r>
    <x v="3"/>
    <s v="JPN"/>
    <x v="0"/>
    <s v="NY.GDP.MKTP.CD"/>
    <x v="4"/>
    <n v="4985763289560.8086"/>
    <s v="Japan|GDP (current US$)|2014"/>
  </r>
  <r>
    <x v="3"/>
    <s v="JPN"/>
    <x v="0"/>
    <s v="NY.GDP.MKTP.CD"/>
    <x v="5"/>
    <n v="4534438580494.9404"/>
    <s v="Japan|GDP (current US$)|2015"/>
  </r>
  <r>
    <x v="3"/>
    <s v="JPN"/>
    <x v="0"/>
    <s v="NY.GDP.MKTP.CD"/>
    <x v="6"/>
    <n v="5110357383254.4355"/>
    <s v="Japan|GDP (current US$)|2016"/>
  </r>
  <r>
    <x v="3"/>
    <s v="JPN"/>
    <x v="0"/>
    <s v="NY.GDP.MKTP.CD"/>
    <x v="7"/>
    <n v="5038231631660.707"/>
    <s v="Japan|GDP (current US$)|2017"/>
  </r>
  <r>
    <x v="3"/>
    <s v="JPN"/>
    <x v="0"/>
    <s v="NY.GDP.MKTP.CD"/>
    <x v="8"/>
    <n v="5154293721629.5557"/>
    <s v="Japan|GDP (current US$)|2018"/>
  </r>
  <r>
    <x v="3"/>
    <s v="JPN"/>
    <x v="0"/>
    <s v="NY.GDP.MKTP.CD"/>
    <x v="9"/>
    <n v="5245755000479.0254"/>
    <s v="Japan|GDP (current US$)|2019"/>
  </r>
  <r>
    <x v="3"/>
    <s v="JPN"/>
    <x v="0"/>
    <s v="NY.GDP.MKTP.CD"/>
    <x v="10"/>
    <n v="5189197543645.3838"/>
    <s v="Japan|GDP (current US$)|2020"/>
  </r>
  <r>
    <x v="3"/>
    <s v="JPN"/>
    <x v="0"/>
    <s v="NY.GDP.MKTP.CD"/>
    <x v="11"/>
    <n v="5225933520753.0967"/>
    <s v="Japan|GDP (current US$)|2021"/>
  </r>
  <r>
    <x v="3"/>
    <s v="JPN"/>
    <x v="0"/>
    <s v="NY.GDP.MKTP.CD"/>
    <x v="12"/>
    <n v="4447976207314.7832"/>
    <s v="Japan|GDP (current US$)|2022"/>
  </r>
  <r>
    <x v="3"/>
    <s v="JPN"/>
    <x v="0"/>
    <s v="NY.GDP.MKTP.CD"/>
    <x v="13"/>
    <n v="4384854269961.9277"/>
    <s v="Japan|GDP (current US$)|2023"/>
  </r>
  <r>
    <x v="3"/>
    <s v="JPN"/>
    <x v="0"/>
    <s v="NY.GDP.MKTP.CD"/>
    <x v="14"/>
    <n v="4190008188358.5737"/>
    <s v="Japan|GDP (current US$)|2024"/>
  </r>
  <r>
    <x v="3"/>
    <s v="JPN"/>
    <x v="0"/>
    <s v="NY.GDP.MKTP.CD"/>
    <x v="15"/>
    <n v="4435162999976.9414"/>
    <s v="Japan|GDP (current US$)|2025"/>
  </r>
  <r>
    <x v="3"/>
    <s v="JPN"/>
    <x v="1"/>
    <s v="NY.GDP.MKTP.KD.ZG"/>
    <x v="0"/>
    <n v="4.1364558922223864"/>
    <s v="Japan|GDP growth (annual %)|2010"/>
  </r>
  <r>
    <x v="3"/>
    <s v="JPN"/>
    <x v="1"/>
    <s v="NY.GDP.MKTP.KD.ZG"/>
    <x v="1"/>
    <n v="-0.20035785332981959"/>
    <s v="Japan|GDP growth (annual %)|2011"/>
  </r>
  <r>
    <x v="3"/>
    <s v="JPN"/>
    <x v="1"/>
    <s v="NY.GDP.MKTP.KD.ZG"/>
    <x v="2"/>
    <n v="1.6489345298122515"/>
    <s v="Japan|GDP growth (annual %)|2012"/>
  </r>
  <r>
    <x v="3"/>
    <s v="JPN"/>
    <x v="1"/>
    <s v="NY.GDP.MKTP.KD.ZG"/>
    <x v="3"/>
    <n v="1.9972765339926468"/>
    <s v="Japan|GDP growth (annual %)|2013"/>
  </r>
  <r>
    <x v="3"/>
    <s v="JPN"/>
    <x v="1"/>
    <s v="NY.GDP.MKTP.KD.ZG"/>
    <x v="4"/>
    <n v="0.90591548606586514"/>
    <s v="Japan|GDP growth (annual %)|2014"/>
  </r>
  <r>
    <x v="3"/>
    <s v="JPN"/>
    <x v="1"/>
    <s v="NY.GDP.MKTP.KD.ZG"/>
    <x v="5"/>
    <n v="1.7999773578347487"/>
    <s v="Japan|GDP growth (annual %)|2015"/>
  </r>
  <r>
    <x v="3"/>
    <s v="JPN"/>
    <x v="1"/>
    <s v="NY.GDP.MKTP.KD.ZG"/>
    <x v="6"/>
    <n v="0.70498649511125677"/>
    <s v="Japan|GDP growth (annual %)|2016"/>
  </r>
  <r>
    <x v="3"/>
    <s v="JPN"/>
    <x v="1"/>
    <s v="NY.GDP.MKTP.KD.ZG"/>
    <x v="7"/>
    <n v="1.6234506224544134"/>
    <s v="Japan|GDP growth (annual %)|2017"/>
  </r>
  <r>
    <x v="3"/>
    <s v="JPN"/>
    <x v="1"/>
    <s v="NY.GDP.MKTP.KD.ZG"/>
    <x v="8"/>
    <n v="0.83414384596558477"/>
    <s v="Japan|GDP growth (annual %)|2018"/>
  </r>
  <r>
    <x v="3"/>
    <s v="JPN"/>
    <x v="1"/>
    <s v="NY.GDP.MKTP.KD.ZG"/>
    <x v="9"/>
    <n v="-0.30849692114325933"/>
    <s v="Japan|GDP growth (annual %)|2019"/>
  </r>
  <r>
    <x v="3"/>
    <s v="JPN"/>
    <x v="1"/>
    <s v="NY.GDP.MKTP.KD.ZG"/>
    <x v="10"/>
    <n v="-4.2832794267557261"/>
    <s v="Japan|GDP growth (annual %)|2020"/>
  </r>
  <r>
    <x v="3"/>
    <s v="JPN"/>
    <x v="1"/>
    <s v="NY.GDP.MKTP.KD.ZG"/>
    <x v="11"/>
    <n v="3.5641953147447509"/>
    <s v="Japan|GDP growth (annual %)|2021"/>
  </r>
  <r>
    <x v="3"/>
    <s v="JPN"/>
    <x v="1"/>
    <s v="NY.GDP.MKTP.KD.ZG"/>
    <x v="12"/>
    <n v="1.3316475065374078"/>
    <s v="Japan|GDP growth (annual %)|2022"/>
  </r>
  <r>
    <x v="3"/>
    <s v="JPN"/>
    <x v="1"/>
    <s v="NY.GDP.MKTP.KD.ZG"/>
    <x v="13"/>
    <n v="0.72078530474981051"/>
    <s v="Japan|GDP growth (annual %)|2023"/>
  </r>
  <r>
    <x v="3"/>
    <s v="JPN"/>
    <x v="1"/>
    <s v="NY.GDP.MKTP.KD.ZG"/>
    <x v="14"/>
    <n v="-0.24008423604169593"/>
    <s v="Japan|GDP growth (annual %)|2024"/>
  </r>
  <r>
    <x v="3"/>
    <s v="JPN"/>
    <x v="1"/>
    <s v="NY.GDP.MKTP.KD.ZG"/>
    <x v="15"/>
    <n v="1.1931128844459948"/>
    <s v="Japan|GDP growth (annual %)|2025"/>
  </r>
  <r>
    <x v="3"/>
    <s v="JPN"/>
    <x v="2"/>
    <s v="FP.CPI.TOTL.ZG"/>
    <x v="0"/>
    <n v="-0.72824320751777882"/>
    <s v="Japan|Inflation, consumer prices (annual %)|2010"/>
  </r>
  <r>
    <x v="3"/>
    <s v="JPN"/>
    <x v="2"/>
    <s v="FP.CPI.TOTL.ZG"/>
    <x v="1"/>
    <n v="-0.27245561610124008"/>
    <s v="Japan|Inflation, consumer prices (annual %)|2011"/>
  </r>
  <r>
    <x v="3"/>
    <s v="JPN"/>
    <x v="2"/>
    <s v="FP.CPI.TOTL.ZG"/>
    <x v="2"/>
    <n v="-4.4064510443260187E-2"/>
    <s v="Japan|Inflation, consumer prices (annual %)|2012"/>
  </r>
  <r>
    <x v="3"/>
    <s v="JPN"/>
    <x v="2"/>
    <s v="FP.CPI.TOTL.ZG"/>
    <x v="3"/>
    <n v="0.33503791218474138"/>
    <s v="Japan|Inflation, consumer prices (annual %)|2013"/>
  </r>
  <r>
    <x v="3"/>
    <s v="JPN"/>
    <x v="2"/>
    <s v="FP.CPI.TOTL.ZG"/>
    <x v="4"/>
    <n v="2.7592267135325308"/>
    <s v="Japan|Inflation, consumer prices (annual %)|2014"/>
  </r>
  <r>
    <x v="3"/>
    <s v="JPN"/>
    <x v="2"/>
    <s v="FP.CPI.TOTL.ZG"/>
    <x v="5"/>
    <n v="0.79527963057983919"/>
    <s v="Japan|Inflation, consumer prices (annual %)|2015"/>
  </r>
  <r>
    <x v="3"/>
    <s v="JPN"/>
    <x v="2"/>
    <s v="FP.CPI.TOTL.ZG"/>
    <x v="6"/>
    <n v="-0.12725884448975369"/>
    <s v="Japan|Inflation, consumer prices (annual %)|2016"/>
  </r>
  <r>
    <x v="3"/>
    <s v="JPN"/>
    <x v="2"/>
    <s v="FP.CPI.TOTL.ZG"/>
    <x v="7"/>
    <n v="0.48419979612638508"/>
    <s v="Japan|Inflation, consumer prices (annual %)|2017"/>
  </r>
  <r>
    <x v="3"/>
    <s v="JPN"/>
    <x v="2"/>
    <s v="FP.CPI.TOTL.ZG"/>
    <x v="8"/>
    <n v="0.98909459802184796"/>
    <s v="Japan|Inflation, consumer prices (annual %)|2018"/>
  </r>
  <r>
    <x v="3"/>
    <s v="JPN"/>
    <x v="2"/>
    <s v="FP.CPI.TOTL.ZG"/>
    <x v="9"/>
    <n v="0.4687761593839499"/>
    <s v="Japan|Inflation, consumer prices (annual %)|2019"/>
  </r>
  <r>
    <x v="3"/>
    <s v="JPN"/>
    <x v="2"/>
    <s v="FP.CPI.TOTL.ZG"/>
    <x v="10"/>
    <n v="-2.4995834027731041E-2"/>
    <s v="Japan|Inflation, consumer prices (annual %)|2020"/>
  </r>
  <r>
    <x v="3"/>
    <s v="JPN"/>
    <x v="2"/>
    <s v="FP.CPI.TOTL.ZG"/>
    <x v="11"/>
    <n v="-0.2333527793982636"/>
    <s v="Japan|Inflation, consumer prices (annual %)|2021"/>
  </r>
  <r>
    <x v="3"/>
    <s v="JPN"/>
    <x v="2"/>
    <s v="FP.CPI.TOTL.ZG"/>
    <x v="12"/>
    <n v="2.497702781722547"/>
    <s v="Japan|Inflation, consumer prices (annual %)|2022"/>
  </r>
  <r>
    <x v="3"/>
    <s v="JPN"/>
    <x v="2"/>
    <s v="FP.CPI.TOTL.ZG"/>
    <x v="13"/>
    <n v="3.2681336593316348"/>
    <s v="Japan|Inflation, consumer prices (annual %)|2023"/>
  </r>
  <r>
    <x v="3"/>
    <s v="JPN"/>
    <x v="2"/>
    <s v="FP.CPI.TOTL.ZG"/>
    <x v="14"/>
    <n v="2.7385368163524069"/>
    <s v="Japan|Inflation, consumer prices (annual %)|2024"/>
  </r>
  <r>
    <x v="3"/>
    <s v="JPN"/>
    <x v="2"/>
    <s v="FP.CPI.TOTL.ZG"/>
    <x v="15"/>
    <n v="3.1725303426024771"/>
    <s v="Japan|Inflation, consumer prices (annual %)|2025"/>
  </r>
  <r>
    <x v="3"/>
    <s v="JPN"/>
    <x v="3"/>
    <s v="SL.UEM.TOTL.ZS"/>
    <x v="0"/>
    <n v="5.1020000000000003"/>
    <s v="Japan|Unemployment, total (% of total labor force) (modeled ILO estimate)|2010"/>
  </r>
  <r>
    <x v="3"/>
    <s v="JPN"/>
    <x v="3"/>
    <s v="SL.UEM.TOTL.ZS"/>
    <x v="1"/>
    <n v="4.55"/>
    <s v="Japan|Unemployment, total (% of total labor force) (modeled ILO estimate)|2011"/>
  </r>
  <r>
    <x v="3"/>
    <s v="JPN"/>
    <x v="3"/>
    <s v="SL.UEM.TOTL.ZS"/>
    <x v="2"/>
    <n v="4.3579999999999997"/>
    <s v="Japan|Unemployment, total (% of total labor force) (modeled ILO estimate)|2012"/>
  </r>
  <r>
    <x v="3"/>
    <s v="JPN"/>
    <x v="3"/>
    <s v="SL.UEM.TOTL.ZS"/>
    <x v="3"/>
    <n v="4.0380000000000003"/>
    <s v="Japan|Unemployment, total (% of total labor force) (modeled ILO estimate)|2013"/>
  </r>
  <r>
    <x v="3"/>
    <s v="JPN"/>
    <x v="3"/>
    <s v="SL.UEM.TOTL.ZS"/>
    <x v="4"/>
    <n v="3.589"/>
    <s v="Japan|Unemployment, total (% of total labor force) (modeled ILO estimate)|2014"/>
  </r>
  <r>
    <x v="3"/>
    <s v="JPN"/>
    <x v="3"/>
    <s v="SL.UEM.TOTL.ZS"/>
    <x v="5"/>
    <n v="3.3849999999999998"/>
    <s v="Japan|Unemployment, total (% of total labor force) (modeled ILO estimate)|2015"/>
  </r>
  <r>
    <x v="3"/>
    <s v="JPN"/>
    <x v="3"/>
    <s v="SL.UEM.TOTL.ZS"/>
    <x v="6"/>
    <n v="3.1320000000000001"/>
    <s v="Japan|Unemployment, total (% of total labor force) (modeled ILO estimate)|2016"/>
  </r>
  <r>
    <x v="3"/>
    <s v="JPN"/>
    <x v="3"/>
    <s v="SL.UEM.TOTL.ZS"/>
    <x v="7"/>
    <n v="2.8220000000000001"/>
    <s v="Japan|Unemployment, total (% of total labor force) (modeled ILO estimate)|2017"/>
  </r>
  <r>
    <x v="3"/>
    <s v="JPN"/>
    <x v="3"/>
    <s v="SL.UEM.TOTL.ZS"/>
    <x v="8"/>
    <n v="2.4670000000000001"/>
    <s v="Japan|Unemployment, total (% of total labor force) (modeled ILO estimate)|2018"/>
  </r>
  <r>
    <x v="3"/>
    <s v="JPN"/>
    <x v="3"/>
    <s v="SL.UEM.TOTL.ZS"/>
    <x v="9"/>
    <n v="2.351"/>
    <s v="Japan|Unemployment, total (% of total labor force) (modeled ILO estimate)|2019"/>
  </r>
  <r>
    <x v="3"/>
    <s v="JPN"/>
    <x v="3"/>
    <s v="SL.UEM.TOTL.ZS"/>
    <x v="10"/>
    <n v="2.8090000000000002"/>
    <s v="Japan|Unemployment, total (% of total labor force) (modeled ILO estimate)|2020"/>
  </r>
  <r>
    <x v="3"/>
    <s v="JPN"/>
    <x v="3"/>
    <s v="SL.UEM.TOTL.ZS"/>
    <x v="11"/>
    <n v="2.8079999999999998"/>
    <s v="Japan|Unemployment, total (% of total labor force) (modeled ILO estimate)|2021"/>
  </r>
  <r>
    <x v="3"/>
    <s v="JPN"/>
    <x v="3"/>
    <s v="SL.UEM.TOTL.ZS"/>
    <x v="12"/>
    <n v="2.6139999999999999"/>
    <s v="Japan|Unemployment, total (% of total labor force) (modeled ILO estimate)|2022"/>
  </r>
  <r>
    <x v="3"/>
    <s v="JPN"/>
    <x v="3"/>
    <s v="SL.UEM.TOTL.ZS"/>
    <x v="13"/>
    <n v="2.6"/>
    <s v="Japan|Unemployment, total (% of total labor force) (modeled ILO estimate)|2023"/>
  </r>
  <r>
    <x v="3"/>
    <s v="JPN"/>
    <x v="3"/>
    <s v="SL.UEM.TOTL.ZS"/>
    <x v="14"/>
    <n v="2.5"/>
    <s v="Japan|Unemployment, total (% of total labor force) (modeled ILO estimate)|2024"/>
  </r>
  <r>
    <x v="3"/>
    <s v="JPN"/>
    <x v="3"/>
    <s v="SL.UEM.TOTL.ZS"/>
    <x v="15"/>
    <n v="2.4510000000000001"/>
    <s v="Japan|Unemployment, total (% of total labor force) (modeled ILO estimate)|2025"/>
  </r>
  <r>
    <x v="3"/>
    <s v="JPN"/>
    <x v="4"/>
    <s v="FR.INR.LEND"/>
    <x v="0"/>
    <n v="1.5983333333333329"/>
    <s v="Japan|Lending interest rate (%)|2010"/>
  </r>
  <r>
    <x v="3"/>
    <s v="JPN"/>
    <x v="4"/>
    <s v="FR.INR.LEND"/>
    <x v="1"/>
    <n v="1.5009166666666669"/>
    <s v="Japan|Lending interest rate (%)|2011"/>
  </r>
  <r>
    <x v="3"/>
    <s v="JPN"/>
    <x v="4"/>
    <s v="FR.INR.LEND"/>
    <x v="2"/>
    <n v="1.4075"/>
    <s v="Japan|Lending interest rate (%)|2012"/>
  </r>
  <r>
    <x v="3"/>
    <s v="JPN"/>
    <x v="4"/>
    <s v="FR.INR.LEND"/>
    <x v="3"/>
    <n v="1.30375"/>
    <s v="Japan|Lending interest rate (%)|2013"/>
  </r>
  <r>
    <x v="3"/>
    <s v="JPN"/>
    <x v="4"/>
    <s v="FR.INR.LEND"/>
    <x v="4"/>
    <n v="1.219166666666667"/>
    <s v="Japan|Lending interest rate (%)|2014"/>
  </r>
  <r>
    <x v="3"/>
    <s v="JPN"/>
    <x v="4"/>
    <s v="FR.INR.LEND"/>
    <x v="5"/>
    <n v="1.1428333333333329"/>
    <s v="Japan|Lending interest rate (%)|2015"/>
  </r>
  <r>
    <x v="3"/>
    <s v="JPN"/>
    <x v="4"/>
    <s v="FR.INR.LEND"/>
    <x v="6"/>
    <n v="1.0447500000000001"/>
    <s v="Japan|Lending interest rate (%)|2016"/>
  </r>
  <r>
    <x v="3"/>
    <s v="JPN"/>
    <x v="4"/>
    <s v="FR.INR.LEND"/>
    <x v="7"/>
    <n v="0.99399999999999999"/>
    <s v="Japan|Lending interest rate (%)|2017"/>
  </r>
  <r>
    <x v="3"/>
    <s v="JPN"/>
    <x v="4"/>
    <s v="FR.INR.LEND"/>
    <x v="8"/>
    <m/>
    <s v="Japan|Lending interest rate (%)|2018"/>
  </r>
  <r>
    <x v="3"/>
    <s v="JPN"/>
    <x v="4"/>
    <s v="FR.INR.LEND"/>
    <x v="9"/>
    <m/>
    <s v="Japan|Lending interest rate (%)|2019"/>
  </r>
  <r>
    <x v="3"/>
    <s v="JPN"/>
    <x v="4"/>
    <s v="FR.INR.LEND"/>
    <x v="10"/>
    <m/>
    <s v="Japan|Lending interest rate (%)|2020"/>
  </r>
  <r>
    <x v="3"/>
    <s v="JPN"/>
    <x v="4"/>
    <s v="FR.INR.LEND"/>
    <x v="11"/>
    <m/>
    <s v="Japan|Lending interest rate (%)|2021"/>
  </r>
  <r>
    <x v="3"/>
    <s v="JPN"/>
    <x v="4"/>
    <s v="FR.INR.LEND"/>
    <x v="12"/>
    <m/>
    <s v="Japan|Lending interest rate (%)|2022"/>
  </r>
  <r>
    <x v="3"/>
    <s v="JPN"/>
    <x v="4"/>
    <s v="FR.INR.LEND"/>
    <x v="13"/>
    <m/>
    <s v="Japan|Lending interest rate (%)|2023"/>
  </r>
  <r>
    <x v="3"/>
    <s v="JPN"/>
    <x v="4"/>
    <s v="FR.INR.LEND"/>
    <x v="14"/>
    <m/>
    <s v="Japan|Lending interest rate (%)|2024"/>
  </r>
  <r>
    <x v="3"/>
    <s v="JPN"/>
    <x v="4"/>
    <s v="FR.INR.LEND"/>
    <x v="15"/>
    <m/>
    <s v="Japan|Lending interest rate (%)|2025"/>
  </r>
  <r>
    <x v="3"/>
    <s v="JPN"/>
    <x v="5"/>
    <s v="PA.NUS.FCRF"/>
    <x v="0"/>
    <n v="87.779875000000004"/>
    <s v="Japan|Official exchange rate (LCU per US$, period average)|2010"/>
  </r>
  <r>
    <x v="3"/>
    <s v="JPN"/>
    <x v="5"/>
    <s v="PA.NUS.FCRF"/>
    <x v="1"/>
    <n v="79.807019832189184"/>
    <s v="Japan|Official exchange rate (LCU per US$, period average)|2011"/>
  </r>
  <r>
    <x v="3"/>
    <s v="JPN"/>
    <x v="5"/>
    <s v="PA.NUS.FCRF"/>
    <x v="2"/>
    <n v="79.790455417006498"/>
    <s v="Japan|Official exchange rate (LCU per US$, period average)|2012"/>
  </r>
  <r>
    <x v="3"/>
    <s v="JPN"/>
    <x v="5"/>
    <s v="PA.NUS.FCRF"/>
    <x v="3"/>
    <n v="97.59565827763852"/>
    <s v="Japan|Official exchange rate (LCU per US$, period average)|2013"/>
  </r>
  <r>
    <x v="3"/>
    <s v="JPN"/>
    <x v="5"/>
    <s v="PA.NUS.FCRF"/>
    <x v="4"/>
    <n v="105.9447810340245"/>
    <s v="Japan|Official exchange rate (LCU per US$, period average)|2014"/>
  </r>
  <r>
    <x v="3"/>
    <s v="JPN"/>
    <x v="5"/>
    <s v="PA.NUS.FCRF"/>
    <x v="5"/>
    <n v="121.0440256840111"/>
    <s v="Japan|Official exchange rate (LCU per US$, period average)|2015"/>
  </r>
  <r>
    <x v="3"/>
    <s v="JPN"/>
    <x v="5"/>
    <s v="PA.NUS.FCRF"/>
    <x v="6"/>
    <n v="108.79290004683421"/>
    <s v="Japan|Official exchange rate (LCU per US$, period average)|2016"/>
  </r>
  <r>
    <x v="3"/>
    <s v="JPN"/>
    <x v="5"/>
    <s v="PA.NUS.FCRF"/>
    <x v="7"/>
    <n v="112.1661410818712"/>
    <s v="Japan|Official exchange rate (LCU per US$, period average)|2017"/>
  </r>
  <r>
    <x v="3"/>
    <s v="JPN"/>
    <x v="5"/>
    <s v="PA.NUS.FCRF"/>
    <x v="8"/>
    <n v="110.42317934106021"/>
    <s v="Japan|Official exchange rate (LCU per US$, period average)|2018"/>
  </r>
  <r>
    <x v="3"/>
    <s v="JPN"/>
    <x v="5"/>
    <s v="PA.NUS.FCRF"/>
    <x v="9"/>
    <n v="109.0096659008632"/>
    <s v="Japan|Official exchange rate (LCU per US$, period average)|2019"/>
  </r>
  <r>
    <x v="3"/>
    <s v="JPN"/>
    <x v="5"/>
    <s v="PA.NUS.FCRF"/>
    <x v="10"/>
    <n v="106.77458226243721"/>
    <s v="Japan|Official exchange rate (LCU per US$, period average)|2020"/>
  </r>
  <r>
    <x v="3"/>
    <s v="JPN"/>
    <x v="5"/>
    <s v="PA.NUS.FCRF"/>
    <x v="11"/>
    <n v="109.7543238394172"/>
    <s v="Japan|Official exchange rate (LCU per US$, period average)|2021"/>
  </r>
  <r>
    <x v="3"/>
    <s v="JPN"/>
    <x v="5"/>
    <s v="PA.NUS.FCRF"/>
    <x v="12"/>
    <n v="131.4981404437639"/>
    <s v="Japan|Official exchange rate (LCU per US$, period average)|2022"/>
  </r>
  <r>
    <x v="3"/>
    <s v="JPN"/>
    <x v="5"/>
    <s v="PA.NUS.FCRF"/>
    <x v="13"/>
    <n v="140.49110006234019"/>
    <s v="Japan|Official exchange rate (LCU per US$, period average)|2023"/>
  </r>
  <r>
    <x v="3"/>
    <s v="JPN"/>
    <x v="5"/>
    <s v="PA.NUS.FCRF"/>
    <x v="14"/>
    <n v="151.36629130275179"/>
    <s v="Japan|Official exchange rate (LCU per US$, period average)|2024"/>
  </r>
  <r>
    <x v="3"/>
    <s v="JPN"/>
    <x v="5"/>
    <s v="PA.NUS.FCRF"/>
    <x v="15"/>
    <n v="149.65792689095181"/>
    <s v="Japan|Official exchange rate (LCU per US$, period average)|2025"/>
  </r>
  <r>
    <x v="3"/>
    <s v="JPN"/>
    <x v="6"/>
    <s v="NE.EXP.GNFS.ZS"/>
    <x v="0"/>
    <n v="14.78273790154695"/>
    <s v="Japan|Exports of goods and services (% of GDP)|2010"/>
  </r>
  <r>
    <x v="3"/>
    <s v="JPN"/>
    <x v="6"/>
    <s v="NE.EXP.GNFS.ZS"/>
    <x v="1"/>
    <n v="14.664526222108703"/>
    <s v="Japan|Exports of goods and services (% of GDP)|2011"/>
  </r>
  <r>
    <x v="3"/>
    <s v="JPN"/>
    <x v="6"/>
    <s v="NE.EXP.GNFS.ZS"/>
    <x v="2"/>
    <n v="14.273915458377518"/>
    <s v="Japan|Exports of goods and services (% of GDP)|2012"/>
  </r>
  <r>
    <x v="3"/>
    <s v="JPN"/>
    <x v="6"/>
    <s v="NE.EXP.GNFS.ZS"/>
    <x v="3"/>
    <n v="15.603709081255529"/>
    <s v="Japan|Exports of goods and services (% of GDP)|2013"/>
  </r>
  <r>
    <x v="3"/>
    <s v="JPN"/>
    <x v="6"/>
    <s v="NE.EXP.GNFS.ZS"/>
    <x v="4"/>
    <n v="17.107862774215679"/>
    <s v="Japan|Exports of goods and services (% of GDP)|2014"/>
  </r>
  <r>
    <x v="3"/>
    <s v="JPN"/>
    <x v="6"/>
    <s v="NE.EXP.GNFS.ZS"/>
    <x v="5"/>
    <n v="17.092109978615937"/>
    <s v="Japan|Exports of goods and services (% of GDP)|2015"/>
  </r>
  <r>
    <x v="3"/>
    <s v="JPN"/>
    <x v="6"/>
    <s v="NE.EXP.GNFS.ZS"/>
    <x v="6"/>
    <n v="15.722396112312415"/>
    <s v="Japan|Exports of goods and services (% of GDP)|2016"/>
  </r>
  <r>
    <x v="3"/>
    <s v="JPN"/>
    <x v="6"/>
    <s v="NE.EXP.GNFS.ZS"/>
    <x v="7"/>
    <n v="17.215825339441782"/>
    <s v="Japan|Exports of goods and services (% of GDP)|2017"/>
  </r>
  <r>
    <x v="3"/>
    <s v="JPN"/>
    <x v="6"/>
    <s v="NE.EXP.GNFS.ZS"/>
    <x v="8"/>
    <n v="17.91114347886818"/>
    <s v="Japan|Exports of goods and services (% of GDP)|2018"/>
  </r>
  <r>
    <x v="3"/>
    <s v="JPN"/>
    <x v="6"/>
    <s v="NE.EXP.GNFS.ZS"/>
    <x v="9"/>
    <n v="17.037797418149893"/>
    <s v="Japan|Exports of goods and services (% of GDP)|2019"/>
  </r>
  <r>
    <x v="3"/>
    <s v="JPN"/>
    <x v="6"/>
    <s v="NE.EXP.GNFS.ZS"/>
    <x v="10"/>
    <n v="15.128690298631376"/>
    <s v="Japan|Exports of goods and services (% of GDP)|2020"/>
  </r>
  <r>
    <x v="3"/>
    <s v="JPN"/>
    <x v="6"/>
    <s v="NE.EXP.GNFS.ZS"/>
    <x v="11"/>
    <n v="17.461985379957905"/>
    <s v="Japan|Exports of goods and services (% of GDP)|2021"/>
  </r>
  <r>
    <x v="3"/>
    <s v="JPN"/>
    <x v="6"/>
    <s v="NE.EXP.GNFS.ZS"/>
    <x v="12"/>
    <n v="20.647867347032982"/>
    <s v="Japan|Exports of goods and services (% of GDP)|2022"/>
  </r>
  <r>
    <x v="3"/>
    <s v="JPN"/>
    <x v="6"/>
    <s v="NE.EXP.GNFS.ZS"/>
    <x v="13"/>
    <n v="21.059310134359684"/>
    <s v="Japan|Exports of goods and services (% of GDP)|2023"/>
  </r>
  <r>
    <x v="3"/>
    <s v="JPN"/>
    <x v="6"/>
    <s v="NE.EXP.GNFS.ZS"/>
    <x v="14"/>
    <n v="21.97990936984608"/>
    <s v="Japan|Exports of goods and services (% of GDP)|2024"/>
  </r>
  <r>
    <x v="3"/>
    <s v="JPN"/>
    <x v="6"/>
    <s v="NE.EXP.GNFS.ZS"/>
    <x v="15"/>
    <m/>
    <s v="Japan|Exports of goods and services (% of GDP)|2025"/>
  </r>
  <r>
    <x v="3"/>
    <s v="JPN"/>
    <x v="7"/>
    <s v="NE.IMP.GNFS.ZS"/>
    <x v="0"/>
    <n v="13.45727718451969"/>
    <s v="Japan|Imports of goods and services (% of GDP)|2010"/>
  </r>
  <r>
    <x v="3"/>
    <s v="JPN"/>
    <x v="7"/>
    <s v="NE.IMP.GNFS.ZS"/>
    <x v="1"/>
    <n v="15.30685913373854"/>
    <s v="Japan|Imports of goods and services (% of GDP)|2011"/>
  </r>
  <r>
    <x v="3"/>
    <s v="JPN"/>
    <x v="7"/>
    <s v="NE.IMP.GNFS.ZS"/>
    <x v="2"/>
    <n v="15.900384089425501"/>
    <s v="Japan|Imports of goods and services (% of GDP)|2012"/>
  </r>
  <r>
    <x v="3"/>
    <s v="JPN"/>
    <x v="7"/>
    <s v="NE.IMP.GNFS.ZS"/>
    <x v="3"/>
    <n v="17.987660364825178"/>
    <s v="Japan|Imports of goods and services (% of GDP)|2013"/>
  </r>
  <r>
    <x v="3"/>
    <s v="JPN"/>
    <x v="7"/>
    <s v="NE.IMP.GNFS.ZS"/>
    <x v="4"/>
    <n v="19.656462247612527"/>
    <s v="Japan|Imports of goods and services (% of GDP)|2014"/>
  </r>
  <r>
    <x v="3"/>
    <s v="JPN"/>
    <x v="7"/>
    <s v="NE.IMP.GNFS.ZS"/>
    <x v="5"/>
    <n v="17.635520610013327"/>
    <s v="Japan|Imports of goods and services (% of GDP)|2015"/>
  </r>
  <r>
    <x v="3"/>
    <s v="JPN"/>
    <x v="7"/>
    <s v="NE.IMP.GNFS.ZS"/>
    <x v="6"/>
    <n v="14.933883194543021"/>
    <s v="Japan|Imports of goods and services (% of GDP)|2016"/>
  </r>
  <r>
    <x v="3"/>
    <s v="JPN"/>
    <x v="7"/>
    <s v="NE.IMP.GNFS.ZS"/>
    <x v="7"/>
    <n v="16.47300833983639"/>
    <s v="Japan|Imports of goods and services (% of GDP)|2017"/>
  </r>
  <r>
    <x v="3"/>
    <s v="JPN"/>
    <x v="7"/>
    <s v="NE.IMP.GNFS.ZS"/>
    <x v="8"/>
    <n v="17.892431479381223"/>
    <s v="Japan|Imports of goods and services (% of GDP)|2018"/>
  </r>
  <r>
    <x v="3"/>
    <s v="JPN"/>
    <x v="7"/>
    <s v="NE.IMP.GNFS.ZS"/>
    <x v="9"/>
    <n v="17.320499861848983"/>
    <s v="Japan|Imports of goods and services (% of GDP)|2019"/>
  </r>
  <r>
    <x v="3"/>
    <s v="JPN"/>
    <x v="7"/>
    <s v="NE.IMP.GNFS.ZS"/>
    <x v="10"/>
    <n v="15.39053239059592"/>
    <s v="Japan|Imports of goods and services (% of GDP)|2020"/>
  </r>
  <r>
    <x v="3"/>
    <s v="JPN"/>
    <x v="7"/>
    <s v="NE.IMP.GNFS.ZS"/>
    <x v="11"/>
    <n v="17.96340735409597"/>
    <s v="Japan|Imports of goods and services (% of GDP)|2021"/>
  </r>
  <r>
    <x v="3"/>
    <s v="JPN"/>
    <x v="7"/>
    <s v="NE.IMP.GNFS.ZS"/>
    <x v="12"/>
    <n v="24.212763673007004"/>
    <s v="Japan|Imports of goods and services (% of GDP)|2022"/>
  </r>
  <r>
    <x v="3"/>
    <s v="JPN"/>
    <x v="7"/>
    <s v="NE.IMP.GNFS.ZS"/>
    <x v="13"/>
    <n v="22.535773245913774"/>
    <s v="Japan|Imports of goods and services (% of GDP)|2023"/>
  </r>
  <r>
    <x v="3"/>
    <s v="JPN"/>
    <x v="7"/>
    <s v="NE.IMP.GNFS.ZS"/>
    <x v="14"/>
    <n v="22.87302948791125"/>
    <s v="Japan|Imports of goods and services (% of GDP)|2024"/>
  </r>
  <r>
    <x v="3"/>
    <s v="JPN"/>
    <x v="7"/>
    <s v="NE.IMP.GNFS.ZS"/>
    <x v="15"/>
    <m/>
    <s v="Japan|Imports of goods and services (% of GDP)|2025"/>
  </r>
  <r>
    <x v="3"/>
    <s v="JPN"/>
    <x v="8"/>
    <s v="BX.KLT.DINV.CD.WD"/>
    <x v="0"/>
    <n v="7440979284.1628504"/>
    <s v="Japan|Foreign direct investment, net inflows (BoP, current US$)|2010"/>
  </r>
  <r>
    <x v="3"/>
    <s v="JPN"/>
    <x v="8"/>
    <s v="BX.KLT.DINV.CD.WD"/>
    <x v="1"/>
    <n v="-850717035.06823802"/>
    <s v="Japan|Foreign direct investment, net inflows (BoP, current US$)|2011"/>
  </r>
  <r>
    <x v="3"/>
    <s v="JPN"/>
    <x v="8"/>
    <s v="BX.KLT.DINV.CD.WD"/>
    <x v="2"/>
    <n v="546962692.19072497"/>
    <s v="Japan|Foreign direct investment, net inflows (BoP, current US$)|2012"/>
  </r>
  <r>
    <x v="3"/>
    <s v="JPN"/>
    <x v="8"/>
    <s v="BX.KLT.DINV.CD.WD"/>
    <x v="3"/>
    <n v="10648441636.2071"/>
    <s v="Japan|Foreign direct investment, net inflows (BoP, current US$)|2013"/>
  </r>
  <r>
    <x v="3"/>
    <s v="JPN"/>
    <x v="8"/>
    <s v="BX.KLT.DINV.CD.WD"/>
    <x v="4"/>
    <n v="19752249424.087002"/>
    <s v="Japan|Foreign direct investment, net inflows (BoP, current US$)|2014"/>
  </r>
  <r>
    <x v="3"/>
    <s v="JPN"/>
    <x v="8"/>
    <s v="BX.KLT.DINV.CD.WD"/>
    <x v="5"/>
    <n v="5252218412.3917103"/>
    <s v="Japan|Foreign direct investment, net inflows (BoP, current US$)|2015"/>
  </r>
  <r>
    <x v="3"/>
    <s v="JPN"/>
    <x v="8"/>
    <s v="BX.KLT.DINV.CD.WD"/>
    <x v="6"/>
    <n v="40954181468.553299"/>
    <s v="Japan|Foreign direct investment, net inflows (BoP, current US$)|2016"/>
  </r>
  <r>
    <x v="3"/>
    <s v="JPN"/>
    <x v="8"/>
    <s v="BX.KLT.DINV.CD.WD"/>
    <x v="7"/>
    <n v="18802251208.1068"/>
    <s v="Japan|Foreign direct investment, net inflows (BoP, current US$)|2017"/>
  </r>
  <r>
    <x v="3"/>
    <s v="JPN"/>
    <x v="8"/>
    <s v="BX.KLT.DINV.CD.WD"/>
    <x v="8"/>
    <n v="25289367857.851799"/>
    <s v="Japan|Foreign direct investment, net inflows (BoP, current US$)|2018"/>
  </r>
  <r>
    <x v="3"/>
    <s v="JPN"/>
    <x v="8"/>
    <s v="BX.KLT.DINV.CD.WD"/>
    <x v="9"/>
    <n v="39960544340.014099"/>
    <s v="Japan|Foreign direct investment, net inflows (BoP, current US$)|2019"/>
  </r>
  <r>
    <x v="3"/>
    <s v="JPN"/>
    <x v="8"/>
    <s v="BX.KLT.DINV.CD.WD"/>
    <x v="10"/>
    <n v="62584719398.091202"/>
    <s v="Japan|Foreign direct investment, net inflows (BoP, current US$)|2020"/>
  </r>
  <r>
    <x v="3"/>
    <s v="JPN"/>
    <x v="8"/>
    <s v="BX.KLT.DINV.CD.WD"/>
    <x v="11"/>
    <n v="35027163875.721298"/>
    <s v="Japan|Foreign direct investment, net inflows (BoP, current US$)|2021"/>
  </r>
  <r>
    <x v="3"/>
    <s v="JPN"/>
    <x v="8"/>
    <s v="BX.KLT.DINV.CD.WD"/>
    <x v="12"/>
    <n v="48153832744.058601"/>
    <s v="Japan|Foreign direct investment, net inflows (BoP, current US$)|2022"/>
  </r>
  <r>
    <x v="3"/>
    <s v="JPN"/>
    <x v="8"/>
    <s v="BX.KLT.DINV.CD.WD"/>
    <x v="13"/>
    <n v="20007989122.904202"/>
    <s v="Japan|Foreign direct investment, net inflows (BoP, current US$)|2023"/>
  </r>
  <r>
    <x v="3"/>
    <s v="JPN"/>
    <x v="8"/>
    <s v="BX.KLT.DINV.CD.WD"/>
    <x v="14"/>
    <n v="18874093729.400799"/>
    <s v="Japan|Foreign direct investment, net inflows (BoP, current US$)|2024"/>
  </r>
  <r>
    <x v="3"/>
    <s v="JPN"/>
    <x v="8"/>
    <s v="BX.KLT.DINV.CD.WD"/>
    <x v="15"/>
    <n v="45805721094.508202"/>
    <s v="Japan|Foreign direct investment, net inflows (BoP, current US$)|2025"/>
  </r>
  <r>
    <x v="3"/>
    <s v="JPN"/>
    <x v="9"/>
    <s v="SP.POP.TOTL"/>
    <x v="0"/>
    <n v="128070000"/>
    <s v="Japan|Population, total|2010"/>
  </r>
  <r>
    <x v="3"/>
    <s v="JPN"/>
    <x v="9"/>
    <s v="SP.POP.TOTL"/>
    <x v="1"/>
    <n v="127833000"/>
    <s v="Japan|Population, total|2011"/>
  </r>
  <r>
    <x v="3"/>
    <s v="JPN"/>
    <x v="9"/>
    <s v="SP.POP.TOTL"/>
    <x v="2"/>
    <n v="127629000"/>
    <s v="Japan|Population, total|2012"/>
  </r>
  <r>
    <x v="3"/>
    <s v="JPN"/>
    <x v="9"/>
    <s v="SP.POP.TOTL"/>
    <x v="3"/>
    <n v="127445000"/>
    <s v="Japan|Population, total|2013"/>
  </r>
  <r>
    <x v="3"/>
    <s v="JPN"/>
    <x v="9"/>
    <s v="SP.POP.TOTL"/>
    <x v="4"/>
    <n v="127276000"/>
    <s v="Japan|Population, total|2014"/>
  </r>
  <r>
    <x v="3"/>
    <s v="JPN"/>
    <x v="9"/>
    <s v="SP.POP.TOTL"/>
    <x v="5"/>
    <n v="127141000"/>
    <s v="Japan|Population, total|2015"/>
  </r>
  <r>
    <x v="3"/>
    <s v="JPN"/>
    <x v="9"/>
    <s v="SP.POP.TOTL"/>
    <x v="6"/>
    <n v="127076000"/>
    <s v="Japan|Population, total|2016"/>
  </r>
  <r>
    <x v="3"/>
    <s v="JPN"/>
    <x v="9"/>
    <s v="SP.POP.TOTL"/>
    <x v="7"/>
    <n v="126972000"/>
    <s v="Japan|Population, total|2017"/>
  </r>
  <r>
    <x v="3"/>
    <s v="JPN"/>
    <x v="9"/>
    <s v="SP.POP.TOTL"/>
    <x v="8"/>
    <n v="126811000"/>
    <s v="Japan|Population, total|2018"/>
  </r>
  <r>
    <x v="3"/>
    <s v="JPN"/>
    <x v="9"/>
    <s v="SP.POP.TOTL"/>
    <x v="9"/>
    <n v="126633000"/>
    <s v="Japan|Population, total|2019"/>
  </r>
  <r>
    <x v="3"/>
    <s v="JPN"/>
    <x v="9"/>
    <s v="SP.POP.TOTL"/>
    <x v="10"/>
    <n v="126261000"/>
    <s v="Japan|Population, total|2020"/>
  </r>
  <r>
    <x v="3"/>
    <s v="JPN"/>
    <x v="9"/>
    <s v="SP.POP.TOTL"/>
    <x v="11"/>
    <n v="125681593"/>
    <s v="Japan|Population, total|2021"/>
  </r>
  <r>
    <x v="3"/>
    <s v="JPN"/>
    <x v="9"/>
    <s v="SP.POP.TOTL"/>
    <x v="12"/>
    <n v="125124989"/>
    <s v="Japan|Population, total|2022"/>
  </r>
  <r>
    <x v="3"/>
    <s v="JPN"/>
    <x v="9"/>
    <s v="SP.POP.TOTL"/>
    <x v="13"/>
    <n v="124516650"/>
    <s v="Japan|Population, total|2023"/>
  </r>
  <r>
    <x v="3"/>
    <s v="JPN"/>
    <x v="9"/>
    <s v="SP.POP.TOTL"/>
    <x v="14"/>
    <n v="123975371"/>
    <s v="Japan|Population, total|2024"/>
  </r>
  <r>
    <x v="3"/>
    <s v="JPN"/>
    <x v="9"/>
    <s v="SP.POP.TOTL"/>
    <x v="15"/>
    <n v="123366734"/>
    <s v="Japan|Population, total|2025"/>
  </r>
  <r>
    <x v="4"/>
    <s v="IDN"/>
    <x v="0"/>
    <s v="NY.GDP.MKTP.CD"/>
    <x v="0"/>
    <n v="755094157621.93555"/>
    <s v="Indonesia|GDP (current US$)|2010"/>
  </r>
  <r>
    <x v="4"/>
    <s v="IDN"/>
    <x v="0"/>
    <s v="NY.GDP.MKTP.CD"/>
    <x v="1"/>
    <n v="892969104563.17126"/>
    <s v="Indonesia|GDP (current US$)|2011"/>
  </r>
  <r>
    <x v="4"/>
    <s v="IDN"/>
    <x v="0"/>
    <s v="NY.GDP.MKTP.CD"/>
    <x v="2"/>
    <n v="917869913332.64856"/>
    <s v="Indonesia|GDP (current US$)|2012"/>
  </r>
  <r>
    <x v="4"/>
    <s v="IDN"/>
    <x v="0"/>
    <s v="NY.GDP.MKTP.CD"/>
    <x v="3"/>
    <n v="912524136718.01819"/>
    <s v="Indonesia|GDP (current US$)|2013"/>
  </r>
  <r>
    <x v="4"/>
    <s v="IDN"/>
    <x v="0"/>
    <s v="NY.GDP.MKTP.CD"/>
    <x v="4"/>
    <n v="890814755533.53687"/>
    <s v="Indonesia|GDP (current US$)|2014"/>
  </r>
  <r>
    <x v="4"/>
    <s v="IDN"/>
    <x v="0"/>
    <s v="NY.GDP.MKTP.CD"/>
    <x v="5"/>
    <n v="860854232686.21387"/>
    <s v="Indonesia|GDP (current US$)|2015"/>
  </r>
  <r>
    <x v="4"/>
    <s v="IDN"/>
    <x v="0"/>
    <s v="NY.GDP.MKTP.CD"/>
    <x v="6"/>
    <n v="931877364037.69751"/>
    <s v="Indonesia|GDP (current US$)|2016"/>
  </r>
  <r>
    <x v="4"/>
    <s v="IDN"/>
    <x v="0"/>
    <s v="NY.GDP.MKTP.CD"/>
    <x v="7"/>
    <n v="1015618744159.7339"/>
    <s v="Indonesia|GDP (current US$)|2017"/>
  </r>
  <r>
    <x v="4"/>
    <s v="IDN"/>
    <x v="0"/>
    <s v="NY.GDP.MKTP.CD"/>
    <x v="8"/>
    <n v="1042271532988.6317"/>
    <s v="Indonesia|GDP (current US$)|2018"/>
  </r>
  <r>
    <x v="4"/>
    <s v="IDN"/>
    <x v="0"/>
    <s v="NY.GDP.MKTP.CD"/>
    <x v="9"/>
    <n v="1119099871350.1992"/>
    <s v="Indonesia|GDP (current US$)|2019"/>
  </r>
  <r>
    <x v="4"/>
    <s v="IDN"/>
    <x v="0"/>
    <s v="NY.GDP.MKTP.CD"/>
    <x v="10"/>
    <n v="1059054842698.4821"/>
    <s v="Indonesia|GDP (current US$)|2020"/>
  </r>
  <r>
    <x v="4"/>
    <s v="IDN"/>
    <x v="0"/>
    <s v="NY.GDP.MKTP.CD"/>
    <x v="11"/>
    <n v="1186509691086.7307"/>
    <s v="Indonesia|GDP (current US$)|2021"/>
  </r>
  <r>
    <x v="4"/>
    <s v="IDN"/>
    <x v="0"/>
    <s v="NY.GDP.MKTP.CD"/>
    <x v="12"/>
    <n v="1319101183380.1516"/>
    <s v="Indonesia|GDP (current US$)|2022"/>
  </r>
  <r>
    <x v="4"/>
    <s v="IDN"/>
    <x v="0"/>
    <s v="NY.GDP.MKTP.CD"/>
    <x v="13"/>
    <n v="1371166925749.8774"/>
    <s v="Indonesia|GDP (current US$)|2023"/>
  </r>
  <r>
    <x v="4"/>
    <s v="IDN"/>
    <x v="0"/>
    <s v="NY.GDP.MKTP.CD"/>
    <x v="14"/>
    <n v="1396301788461.6938"/>
    <s v="Indonesia|GDP (current US$)|2024"/>
  </r>
  <r>
    <x v="4"/>
    <s v="IDN"/>
    <x v="0"/>
    <s v="NY.GDP.MKTP.CD"/>
    <x v="15"/>
    <n v="1445642584163.8086"/>
    <s v="Indonesia|GDP (current US$)|2025"/>
  </r>
  <r>
    <x v="4"/>
    <s v="IDN"/>
    <x v="1"/>
    <s v="NY.GDP.MKTP.KD.ZG"/>
    <x v="0"/>
    <n v="6.2238541806236611"/>
    <s v="Indonesia|GDP growth (annual %)|2010"/>
  </r>
  <r>
    <x v="4"/>
    <s v="IDN"/>
    <x v="1"/>
    <s v="NY.GDP.MKTP.KD.ZG"/>
    <x v="1"/>
    <n v="6.1697842077100802"/>
    <s v="Indonesia|GDP growth (annual %)|2011"/>
  </r>
  <r>
    <x v="4"/>
    <s v="IDN"/>
    <x v="1"/>
    <s v="NY.GDP.MKTP.KD.ZG"/>
    <x v="2"/>
    <n v="6.0300506530561506"/>
    <s v="Indonesia|GDP growth (annual %)|2012"/>
  </r>
  <r>
    <x v="4"/>
    <s v="IDN"/>
    <x v="1"/>
    <s v="NY.GDP.MKTP.KD.ZG"/>
    <x v="3"/>
    <n v="5.5572636889100977"/>
    <s v="Indonesia|GDP growth (annual %)|2013"/>
  </r>
  <r>
    <x v="4"/>
    <s v="IDN"/>
    <x v="1"/>
    <s v="NY.GDP.MKTP.KD.ZG"/>
    <x v="4"/>
    <n v="5.0066684257549952"/>
    <s v="Indonesia|GDP growth (annual %)|2014"/>
  </r>
  <r>
    <x v="4"/>
    <s v="IDN"/>
    <x v="1"/>
    <s v="NY.GDP.MKTP.KD.ZG"/>
    <x v="5"/>
    <n v="4.8763223002212328"/>
    <s v="Indonesia|GDP growth (annual %)|2015"/>
  </r>
  <r>
    <x v="4"/>
    <s v="IDN"/>
    <x v="1"/>
    <s v="NY.GDP.MKTP.KD.ZG"/>
    <x v="6"/>
    <n v="5.0330691828017677"/>
    <s v="Indonesia|GDP growth (annual %)|2016"/>
  </r>
  <r>
    <x v="4"/>
    <s v="IDN"/>
    <x v="1"/>
    <s v="NY.GDP.MKTP.KD.ZG"/>
    <x v="7"/>
    <n v="5.0697859013491637"/>
    <s v="Indonesia|GDP growth (annual %)|2017"/>
  </r>
  <r>
    <x v="4"/>
    <s v="IDN"/>
    <x v="1"/>
    <s v="NY.GDP.MKTP.KD.ZG"/>
    <x v="8"/>
    <n v="5.1742915395502393"/>
    <s v="Indonesia|GDP growth (annual %)|2018"/>
  </r>
  <r>
    <x v="4"/>
    <s v="IDN"/>
    <x v="1"/>
    <s v="NY.GDP.MKTP.KD.ZG"/>
    <x v="9"/>
    <n v="5.0192876804628241"/>
    <s v="Indonesia|GDP growth (annual %)|2019"/>
  </r>
  <r>
    <x v="4"/>
    <s v="IDN"/>
    <x v="1"/>
    <s v="NY.GDP.MKTP.KD.ZG"/>
    <x v="10"/>
    <n v="-2.065511829341645"/>
    <s v="Indonesia|GDP growth (annual %)|2020"/>
  </r>
  <r>
    <x v="4"/>
    <s v="IDN"/>
    <x v="1"/>
    <s v="NY.GDP.MKTP.KD.ZG"/>
    <x v="11"/>
    <n v="3.7028856282775138"/>
    <s v="Indonesia|GDP growth (annual %)|2021"/>
  </r>
  <r>
    <x v="4"/>
    <s v="IDN"/>
    <x v="1"/>
    <s v="NY.GDP.MKTP.KD.ZG"/>
    <x v="12"/>
    <n v="5.3071972266479861"/>
    <s v="Indonesia|GDP growth (annual %)|2022"/>
  </r>
  <r>
    <x v="4"/>
    <s v="IDN"/>
    <x v="1"/>
    <s v="NY.GDP.MKTP.KD.ZG"/>
    <x v="13"/>
    <n v="5.0488311785551616"/>
    <s v="Indonesia|GDP growth (annual %)|2023"/>
  </r>
  <r>
    <x v="4"/>
    <s v="IDN"/>
    <x v="1"/>
    <s v="NY.GDP.MKTP.KD.ZG"/>
    <x v="14"/>
    <n v="5.0325747708851907"/>
    <s v="Indonesia|GDP growth (annual %)|2024"/>
  </r>
  <r>
    <x v="4"/>
    <s v="IDN"/>
    <x v="1"/>
    <s v="NY.GDP.MKTP.KD.ZG"/>
    <x v="15"/>
    <n v="5.1080890443802502"/>
    <s v="Indonesia|GDP growth (annual %)|2025"/>
  </r>
  <r>
    <x v="4"/>
    <s v="IDN"/>
    <x v="2"/>
    <s v="FP.CPI.TOTL.ZG"/>
    <x v="0"/>
    <n v="5.1342063901588544"/>
    <s v="Indonesia|Inflation, consumer prices (annual %)|2010"/>
  </r>
  <r>
    <x v="4"/>
    <s v="IDN"/>
    <x v="2"/>
    <s v="FP.CPI.TOTL.ZG"/>
    <x v="1"/>
    <n v="5.3560484911258213"/>
    <s v="Indonesia|Inflation, consumer prices (annual %)|2011"/>
  </r>
  <r>
    <x v="4"/>
    <s v="IDN"/>
    <x v="2"/>
    <s v="FP.CPI.TOTL.ZG"/>
    <x v="2"/>
    <n v="4.2795142691943049"/>
    <s v="Indonesia|Inflation, consumer prices (annual %)|2012"/>
  </r>
  <r>
    <x v="4"/>
    <s v="IDN"/>
    <x v="2"/>
    <s v="FP.CPI.TOTL.ZG"/>
    <x v="3"/>
    <n v="6.4124945790039112"/>
    <s v="Indonesia|Inflation, consumer prices (annual %)|2013"/>
  </r>
  <r>
    <x v="4"/>
    <s v="IDN"/>
    <x v="2"/>
    <s v="FP.CPI.TOTL.ZG"/>
    <x v="4"/>
    <n v="6.3949288239655928"/>
    <s v="Indonesia|Inflation, consumer prices (annual %)|2014"/>
  </r>
  <r>
    <x v="4"/>
    <s v="IDN"/>
    <x v="2"/>
    <s v="FP.CPI.TOTL.ZG"/>
    <x v="5"/>
    <n v="6.3631206119664627"/>
    <s v="Indonesia|Inflation, consumer prices (annual %)|2015"/>
  </r>
  <r>
    <x v="4"/>
    <s v="IDN"/>
    <x v="2"/>
    <s v="FP.CPI.TOTL.ZG"/>
    <x v="6"/>
    <n v="3.5258045281545121"/>
    <s v="Indonesia|Inflation, consumer prices (annual %)|2016"/>
  </r>
  <r>
    <x v="4"/>
    <s v="IDN"/>
    <x v="2"/>
    <s v="FP.CPI.TOTL.ZG"/>
    <x v="7"/>
    <n v="3.808798576919489"/>
    <s v="Indonesia|Inflation, consumer prices (annual %)|2017"/>
  </r>
  <r>
    <x v="4"/>
    <s v="IDN"/>
    <x v="2"/>
    <s v="FP.CPI.TOTL.ZG"/>
    <x v="8"/>
    <n v="3.1983475592499611"/>
    <s v="Indonesia|Inflation, consumer prices (annual %)|2018"/>
  </r>
  <r>
    <x v="4"/>
    <s v="IDN"/>
    <x v="2"/>
    <s v="FP.CPI.TOTL.ZG"/>
    <x v="9"/>
    <n v="3.0305846094166058"/>
    <s v="Indonesia|Inflation, consumer prices (annual %)|2019"/>
  </r>
  <r>
    <x v="4"/>
    <s v="IDN"/>
    <x v="2"/>
    <s v="FP.CPI.TOTL.ZG"/>
    <x v="10"/>
    <n v="1.919835272707928"/>
    <s v="Indonesia|Inflation, consumer prices (annual %)|2020"/>
  </r>
  <r>
    <x v="4"/>
    <s v="IDN"/>
    <x v="2"/>
    <s v="FP.CPI.TOTL.ZG"/>
    <x v="11"/>
    <n v="1.5600788298333439"/>
    <s v="Indonesia|Inflation, consumer prices (annual %)|2021"/>
  </r>
  <r>
    <x v="4"/>
    <s v="IDN"/>
    <x v="2"/>
    <s v="FP.CPI.TOTL.ZG"/>
    <x v="12"/>
    <n v="4.2094646371478417"/>
    <s v="Indonesia|Inflation, consumer prices (annual %)|2022"/>
  </r>
  <r>
    <x v="4"/>
    <s v="IDN"/>
    <x v="2"/>
    <s v="FP.CPI.TOTL.ZG"/>
    <x v="13"/>
    <n v="3.6693865485976112"/>
    <s v="Indonesia|Inflation, consumer prices (annual %)|2023"/>
  </r>
  <r>
    <x v="4"/>
    <s v="IDN"/>
    <x v="2"/>
    <s v="FP.CPI.TOTL.ZG"/>
    <x v="14"/>
    <n v="2.181512736151888"/>
    <s v="Indonesia|Inflation, consumer prices (annual %)|2024"/>
  </r>
  <r>
    <x v="4"/>
    <s v="IDN"/>
    <x v="2"/>
    <s v="FP.CPI.TOTL.ZG"/>
    <x v="15"/>
    <n v="1.9133344329507951"/>
    <s v="Indonesia|Inflation, consumer prices (annual %)|2025"/>
  </r>
  <r>
    <x v="4"/>
    <s v="IDN"/>
    <x v="3"/>
    <s v="SL.UEM.TOTL.ZS"/>
    <x v="0"/>
    <n v="5.6139999999999999"/>
    <s v="Indonesia|Unemployment, total (% of total labor force) (modeled ILO estimate)|2010"/>
  </r>
  <r>
    <x v="4"/>
    <s v="IDN"/>
    <x v="3"/>
    <s v="SL.UEM.TOTL.ZS"/>
    <x v="1"/>
    <n v="5.1529999999999996"/>
    <s v="Indonesia|Unemployment, total (% of total labor force) (modeled ILO estimate)|2011"/>
  </r>
  <r>
    <x v="4"/>
    <s v="IDN"/>
    <x v="3"/>
    <s v="SL.UEM.TOTL.ZS"/>
    <x v="2"/>
    <n v="4.468"/>
    <s v="Indonesia|Unemployment, total (% of total labor force) (modeled ILO estimate)|2012"/>
  </r>
  <r>
    <x v="4"/>
    <s v="IDN"/>
    <x v="3"/>
    <s v="SL.UEM.TOTL.ZS"/>
    <x v="3"/>
    <n v="4.3360000000000003"/>
    <s v="Indonesia|Unemployment, total (% of total labor force) (modeled ILO estimate)|2013"/>
  </r>
  <r>
    <x v="4"/>
    <s v="IDN"/>
    <x v="3"/>
    <s v="SL.UEM.TOTL.ZS"/>
    <x v="4"/>
    <n v="4.0490000000000004"/>
    <s v="Indonesia|Unemployment, total (% of total labor force) (modeled ILO estimate)|2014"/>
  </r>
  <r>
    <x v="4"/>
    <s v="IDN"/>
    <x v="3"/>
    <s v="SL.UEM.TOTL.ZS"/>
    <x v="5"/>
    <n v="4.5140000000000002"/>
    <s v="Indonesia|Unemployment, total (% of total labor force) (modeled ILO estimate)|2015"/>
  </r>
  <r>
    <x v="4"/>
    <s v="IDN"/>
    <x v="3"/>
    <s v="SL.UEM.TOTL.ZS"/>
    <x v="6"/>
    <n v="4.3010000000000002"/>
    <s v="Indonesia|Unemployment, total (% of total labor force) (modeled ILO estimate)|2016"/>
  </r>
  <r>
    <x v="4"/>
    <s v="IDN"/>
    <x v="3"/>
    <s v="SL.UEM.TOTL.ZS"/>
    <x v="7"/>
    <n v="3.7829999999999999"/>
    <s v="Indonesia|Unemployment, total (% of total labor force) (modeled ILO estimate)|2017"/>
  </r>
  <r>
    <x v="4"/>
    <s v="IDN"/>
    <x v="3"/>
    <s v="SL.UEM.TOTL.ZS"/>
    <x v="8"/>
    <n v="4.3869999999999996"/>
    <s v="Indonesia|Unemployment, total (% of total labor force) (modeled ILO estimate)|2018"/>
  </r>
  <r>
    <x v="4"/>
    <s v="IDN"/>
    <x v="3"/>
    <s v="SL.UEM.TOTL.ZS"/>
    <x v="9"/>
    <n v="3.59"/>
    <s v="Indonesia|Unemployment, total (% of total labor force) (modeled ILO estimate)|2019"/>
  </r>
  <r>
    <x v="4"/>
    <s v="IDN"/>
    <x v="3"/>
    <s v="SL.UEM.TOTL.ZS"/>
    <x v="10"/>
    <n v="4.2549999999999999"/>
    <s v="Indonesia|Unemployment, total (% of total labor force) (modeled ILO estimate)|2020"/>
  </r>
  <r>
    <x v="4"/>
    <s v="IDN"/>
    <x v="3"/>
    <s v="SL.UEM.TOTL.ZS"/>
    <x v="11"/>
    <n v="3.827"/>
    <s v="Indonesia|Unemployment, total (% of total labor force) (modeled ILO estimate)|2021"/>
  </r>
  <r>
    <x v="4"/>
    <s v="IDN"/>
    <x v="3"/>
    <s v="SL.UEM.TOTL.ZS"/>
    <x v="12"/>
    <n v="3.4620000000000002"/>
    <s v="Indonesia|Unemployment, total (% of total labor force) (modeled ILO estimate)|2022"/>
  </r>
  <r>
    <x v="4"/>
    <s v="IDN"/>
    <x v="3"/>
    <s v="SL.UEM.TOTL.ZS"/>
    <x v="13"/>
    <n v="3.3079999999999998"/>
    <s v="Indonesia|Unemployment, total (% of total labor force) (modeled ILO estimate)|2023"/>
  </r>
  <r>
    <x v="4"/>
    <s v="IDN"/>
    <x v="3"/>
    <s v="SL.UEM.TOTL.ZS"/>
    <x v="14"/>
    <n v="3.3010000000000002"/>
    <s v="Indonesia|Unemployment, total (% of total labor force) (modeled ILO estimate)|2024"/>
  </r>
  <r>
    <x v="4"/>
    <s v="IDN"/>
    <x v="3"/>
    <s v="SL.UEM.TOTL.ZS"/>
    <x v="15"/>
    <n v="3.2370000000000001"/>
    <s v="Indonesia|Unemployment, total (% of total labor force) (modeled ILO estimate)|2025"/>
  </r>
  <r>
    <x v="4"/>
    <s v="IDN"/>
    <x v="4"/>
    <s v="FR.INR.LEND"/>
    <x v="0"/>
    <n v="13.25166666666666"/>
    <s v="Indonesia|Lending interest rate (%)|2010"/>
  </r>
  <r>
    <x v="4"/>
    <s v="IDN"/>
    <x v="4"/>
    <s v="FR.INR.LEND"/>
    <x v="1"/>
    <n v="12.40333333333334"/>
    <s v="Indonesia|Lending interest rate (%)|2011"/>
  </r>
  <r>
    <x v="4"/>
    <s v="IDN"/>
    <x v="4"/>
    <s v="FR.INR.LEND"/>
    <x v="2"/>
    <n v="11.795"/>
    <s v="Indonesia|Lending interest rate (%)|2012"/>
  </r>
  <r>
    <x v="4"/>
    <s v="IDN"/>
    <x v="4"/>
    <s v="FR.INR.LEND"/>
    <x v="3"/>
    <n v="11.657500000000001"/>
    <s v="Indonesia|Lending interest rate (%)|2013"/>
  </r>
  <r>
    <x v="4"/>
    <s v="IDN"/>
    <x v="4"/>
    <s v="FR.INR.LEND"/>
    <x v="4"/>
    <n v="12.605"/>
    <s v="Indonesia|Lending interest rate (%)|2014"/>
  </r>
  <r>
    <x v="4"/>
    <s v="IDN"/>
    <x v="4"/>
    <s v="FR.INR.LEND"/>
    <x v="5"/>
    <n v="12.6625"/>
    <s v="Indonesia|Lending interest rate (%)|2015"/>
  </r>
  <r>
    <x v="4"/>
    <s v="IDN"/>
    <x v="4"/>
    <s v="FR.INR.LEND"/>
    <x v="6"/>
    <n v="11.888333333333341"/>
    <s v="Indonesia|Lending interest rate (%)|2016"/>
  </r>
  <r>
    <x v="4"/>
    <s v="IDN"/>
    <x v="4"/>
    <s v="FR.INR.LEND"/>
    <x v="7"/>
    <n v="11.073333333333331"/>
    <s v="Indonesia|Lending interest rate (%)|2017"/>
  </r>
  <r>
    <x v="4"/>
    <s v="IDN"/>
    <x v="4"/>
    <s v="FR.INR.LEND"/>
    <x v="8"/>
    <n v="10.536666666666671"/>
    <s v="Indonesia|Lending interest rate (%)|2018"/>
  </r>
  <r>
    <x v="4"/>
    <s v="IDN"/>
    <x v="4"/>
    <s v="FR.INR.LEND"/>
    <x v="9"/>
    <n v="10.36583333333334"/>
    <s v="Indonesia|Lending interest rate (%)|2019"/>
  </r>
  <r>
    <x v="4"/>
    <s v="IDN"/>
    <x v="4"/>
    <s v="FR.INR.LEND"/>
    <x v="10"/>
    <n v="9.5441666666666674"/>
    <s v="Indonesia|Lending interest rate (%)|2020"/>
  </r>
  <r>
    <x v="4"/>
    <s v="IDN"/>
    <x v="4"/>
    <s v="FR.INR.LEND"/>
    <x v="11"/>
    <n v="8.9224999999999994"/>
    <s v="Indonesia|Lending interest rate (%)|2021"/>
  </r>
  <r>
    <x v="4"/>
    <s v="IDN"/>
    <x v="4"/>
    <s v="FR.INR.LEND"/>
    <x v="12"/>
    <n v="8.5199999999999978"/>
    <s v="Indonesia|Lending interest rate (%)|2022"/>
  </r>
  <r>
    <x v="4"/>
    <s v="IDN"/>
    <x v="4"/>
    <s v="FR.INR.LEND"/>
    <x v="13"/>
    <n v="8.9266666666666676"/>
    <s v="Indonesia|Lending interest rate (%)|2023"/>
  </r>
  <r>
    <x v="4"/>
    <s v="IDN"/>
    <x v="4"/>
    <s v="FR.INR.LEND"/>
    <x v="14"/>
    <n v="8.795687849271582"/>
    <s v="Indonesia|Lending interest rate (%)|2024"/>
  </r>
  <r>
    <x v="4"/>
    <s v="IDN"/>
    <x v="4"/>
    <s v="FR.INR.LEND"/>
    <x v="15"/>
    <n v="8.5015832315901658"/>
    <s v="Indonesia|Lending interest rate (%)|2025"/>
  </r>
  <r>
    <x v="4"/>
    <s v="IDN"/>
    <x v="5"/>
    <s v="PA.NUS.FCRF"/>
    <x v="0"/>
    <n v="9090.4333333333325"/>
    <s v="Indonesia|Official exchange rate (LCU per US$, period average)|2010"/>
  </r>
  <r>
    <x v="4"/>
    <s v="IDN"/>
    <x v="5"/>
    <s v="PA.NUS.FCRF"/>
    <x v="1"/>
    <n v="8770.4333333333325"/>
    <s v="Indonesia|Official exchange rate (LCU per US$, period average)|2011"/>
  </r>
  <r>
    <x v="4"/>
    <s v="IDN"/>
    <x v="5"/>
    <s v="PA.NUS.FCRF"/>
    <x v="2"/>
    <n v="9386.6291666666675"/>
    <s v="Indonesia|Official exchange rate (LCU per US$, period average)|2012"/>
  </r>
  <r>
    <x v="4"/>
    <s v="IDN"/>
    <x v="5"/>
    <s v="PA.NUS.FCRF"/>
    <x v="3"/>
    <n v="10461.24"/>
    <s v="Indonesia|Official exchange rate (LCU per US$, period average)|2013"/>
  </r>
  <r>
    <x v="4"/>
    <s v="IDN"/>
    <x v="5"/>
    <s v="PA.NUS.FCRF"/>
    <x v="4"/>
    <n v="11865.2112962963"/>
    <s v="Indonesia|Official exchange rate (LCU per US$, period average)|2014"/>
  </r>
  <r>
    <x v="4"/>
    <s v="IDN"/>
    <x v="5"/>
    <s v="PA.NUS.FCRF"/>
    <x v="5"/>
    <n v="13389.41293650793"/>
    <s v="Indonesia|Official exchange rate (LCU per US$, period average)|2015"/>
  </r>
  <r>
    <x v="4"/>
    <s v="IDN"/>
    <x v="5"/>
    <s v="PA.NUS.FCRF"/>
    <x v="6"/>
    <n v="13308.32680205416"/>
    <s v="Indonesia|Official exchange rate (LCU per US$, period average)|2016"/>
  </r>
  <r>
    <x v="4"/>
    <s v="IDN"/>
    <x v="5"/>
    <s v="PA.NUS.FCRF"/>
    <x v="7"/>
    <n v="13380.83387888914"/>
    <s v="Indonesia|Official exchange rate (LCU per US$, period average)|2017"/>
  </r>
  <r>
    <x v="4"/>
    <s v="IDN"/>
    <x v="5"/>
    <s v="PA.NUS.FCRF"/>
    <x v="8"/>
    <n v="14236.93877348179"/>
    <s v="Indonesia|Official exchange rate (LCU per US$, period average)|2018"/>
  </r>
  <r>
    <x v="4"/>
    <s v="IDN"/>
    <x v="5"/>
    <s v="PA.NUS.FCRF"/>
    <x v="9"/>
    <n v="14147.671360545421"/>
    <s v="Indonesia|Official exchange rate (LCU per US$, period average)|2019"/>
  </r>
  <r>
    <x v="4"/>
    <s v="IDN"/>
    <x v="5"/>
    <s v="PA.NUS.FCRF"/>
    <x v="10"/>
    <n v="14582.203467817741"/>
    <s v="Indonesia|Official exchange rate (LCU per US$, period average)|2020"/>
  </r>
  <r>
    <x v="4"/>
    <s v="IDN"/>
    <x v="5"/>
    <s v="PA.NUS.FCRF"/>
    <x v="11"/>
    <n v="14308.143901189689"/>
    <s v="Indonesia|Official exchange rate (LCU per US$, period average)|2021"/>
  </r>
  <r>
    <x v="4"/>
    <s v="IDN"/>
    <x v="5"/>
    <s v="PA.NUS.FCRF"/>
    <x v="12"/>
    <n v="14849.85393621048"/>
    <s v="Indonesia|Official exchange rate (LCU per US$, period average)|2022"/>
  </r>
  <r>
    <x v="4"/>
    <s v="IDN"/>
    <x v="5"/>
    <s v="PA.NUS.FCRF"/>
    <x v="13"/>
    <n v="15236.884662050619"/>
    <s v="Indonesia|Official exchange rate (LCU per US$, period average)|2023"/>
  </r>
  <r>
    <x v="4"/>
    <s v="IDN"/>
    <x v="5"/>
    <s v="PA.NUS.FCRF"/>
    <x v="14"/>
    <n v="15855.44828667106"/>
    <s v="Indonesia|Official exchange rate (LCU per US$, period average)|2024"/>
  </r>
  <r>
    <x v="4"/>
    <s v="IDN"/>
    <x v="5"/>
    <s v="PA.NUS.FCRF"/>
    <x v="15"/>
    <n v="16477.865179783559"/>
    <s v="Indonesia|Official exchange rate (LCU per US$, period average)|2025"/>
  </r>
  <r>
    <x v="4"/>
    <s v="IDN"/>
    <x v="6"/>
    <s v="NE.EXP.GNFS.ZS"/>
    <x v="0"/>
    <n v="24.299030936640783"/>
    <s v="Indonesia|Exports of goods and services (% of GDP)|2010"/>
  </r>
  <r>
    <x v="4"/>
    <s v="IDN"/>
    <x v="6"/>
    <s v="NE.EXP.GNFS.ZS"/>
    <x v="1"/>
    <n v="26.327353088883598"/>
    <s v="Indonesia|Exports of goods and services (% of GDP)|2011"/>
  </r>
  <r>
    <x v="4"/>
    <s v="IDN"/>
    <x v="6"/>
    <s v="NE.EXP.GNFS.ZS"/>
    <x v="2"/>
    <n v="24.594378788176869"/>
    <s v="Indonesia|Exports of goods and services (% of GDP)|2012"/>
  </r>
  <r>
    <x v="4"/>
    <s v="IDN"/>
    <x v="6"/>
    <s v="NE.EXP.GNFS.ZS"/>
    <x v="3"/>
    <n v="23.92357637936048"/>
    <s v="Indonesia|Exports of goods and services (% of GDP)|2013"/>
  </r>
  <r>
    <x v="4"/>
    <s v="IDN"/>
    <x v="6"/>
    <s v="NE.EXP.GNFS.ZS"/>
    <x v="4"/>
    <n v="23.665984596936681"/>
    <s v="Indonesia|Exports of goods and services (% of GDP)|2014"/>
  </r>
  <r>
    <x v="4"/>
    <s v="IDN"/>
    <x v="6"/>
    <s v="NE.EXP.GNFS.ZS"/>
    <x v="5"/>
    <n v="21.160179259805858"/>
    <s v="Indonesia|Exports of goods and services (% of GDP)|2015"/>
  </r>
  <r>
    <x v="4"/>
    <s v="IDN"/>
    <x v="6"/>
    <s v="NE.EXP.GNFS.ZS"/>
    <x v="6"/>
    <n v="19.088993853666448"/>
    <s v="Indonesia|Exports of goods and services (% of GDP)|2016"/>
  </r>
  <r>
    <x v="4"/>
    <s v="IDN"/>
    <x v="6"/>
    <s v="NE.EXP.GNFS.ZS"/>
    <x v="7"/>
    <n v="20.177304435110599"/>
    <s v="Indonesia|Exports of goods and services (% of GDP)|2017"/>
  </r>
  <r>
    <x v="4"/>
    <s v="IDN"/>
    <x v="6"/>
    <s v="NE.EXP.GNFS.ZS"/>
    <x v="8"/>
    <n v="21.002746497245457"/>
    <s v="Indonesia|Exports of goods and services (% of GDP)|2018"/>
  </r>
  <r>
    <x v="4"/>
    <s v="IDN"/>
    <x v="6"/>
    <s v="NE.EXP.GNFS.ZS"/>
    <x v="9"/>
    <n v="18.591527797088286"/>
    <s v="Indonesia|Exports of goods and services (% of GDP)|2019"/>
  </r>
  <r>
    <x v="4"/>
    <s v="IDN"/>
    <x v="6"/>
    <s v="NE.EXP.GNFS.ZS"/>
    <x v="10"/>
    <n v="17.3311682848923"/>
    <s v="Indonesia|Exports of goods and services (% of GDP)|2020"/>
  </r>
  <r>
    <x v="4"/>
    <s v="IDN"/>
    <x v="6"/>
    <s v="NE.EXP.GNFS.ZS"/>
    <x v="11"/>
    <n v="21.416555639065315"/>
    <s v="Indonesia|Exports of goods and services (% of GDP)|2021"/>
  </r>
  <r>
    <x v="4"/>
    <s v="IDN"/>
    <x v="6"/>
    <s v="NE.EXP.GNFS.ZS"/>
    <x v="12"/>
    <n v="24.502911686283209"/>
    <s v="Indonesia|Exports of goods and services (% of GDP)|2022"/>
  </r>
  <r>
    <x v="4"/>
    <s v="IDN"/>
    <x v="6"/>
    <s v="NE.EXP.GNFS.ZS"/>
    <x v="13"/>
    <n v="21.808563219756198"/>
    <s v="Indonesia|Exports of goods and services (% of GDP)|2023"/>
  </r>
  <r>
    <x v="4"/>
    <s v="IDN"/>
    <x v="6"/>
    <s v="NE.EXP.GNFS.ZS"/>
    <x v="14"/>
    <n v="22.309648770260569"/>
    <s v="Indonesia|Exports of goods and services (% of GDP)|2024"/>
  </r>
  <r>
    <x v="4"/>
    <s v="IDN"/>
    <x v="6"/>
    <s v="NE.EXP.GNFS.ZS"/>
    <x v="15"/>
    <n v="22.846548298785788"/>
    <s v="Indonesia|Exports of goods and services (% of GDP)|2025"/>
  </r>
  <r>
    <x v="4"/>
    <s v="IDN"/>
    <x v="7"/>
    <s v="NE.IMP.GNFS.ZS"/>
    <x v="0"/>
    <n v="22.402242939232924"/>
    <s v="Indonesia|Imports of goods and services (% of GDP)|2010"/>
  </r>
  <r>
    <x v="4"/>
    <s v="IDN"/>
    <x v="7"/>
    <s v="NE.IMP.GNFS.ZS"/>
    <x v="1"/>
    <n v="23.852660095226774"/>
    <s v="Indonesia|Imports of goods and services (% of GDP)|2011"/>
  </r>
  <r>
    <x v="4"/>
    <s v="IDN"/>
    <x v="7"/>
    <s v="NE.IMP.GNFS.ZS"/>
    <x v="2"/>
    <n v="24.988519511085833"/>
    <s v="Indonesia|Imports of goods and services (% of GDP)|2012"/>
  </r>
  <r>
    <x v="4"/>
    <s v="IDN"/>
    <x v="7"/>
    <s v="NE.IMP.GNFS.ZS"/>
    <x v="3"/>
    <n v="24.713796295928798"/>
    <s v="Indonesia|Imports of goods and services (% of GDP)|2013"/>
  </r>
  <r>
    <x v="4"/>
    <s v="IDN"/>
    <x v="7"/>
    <s v="NE.IMP.GNFS.ZS"/>
    <x v="4"/>
    <n v="24.414190988586029"/>
    <s v="Indonesia|Imports of goods and services (% of GDP)|2014"/>
  </r>
  <r>
    <x v="4"/>
    <s v="IDN"/>
    <x v="7"/>
    <s v="NE.IMP.GNFS.ZS"/>
    <x v="5"/>
    <n v="20.777460981723518"/>
    <s v="Indonesia|Imports of goods and services (% of GDP)|2015"/>
  </r>
  <r>
    <x v="4"/>
    <s v="IDN"/>
    <x v="7"/>
    <s v="NE.IMP.GNFS.ZS"/>
    <x v="6"/>
    <n v="18.33234794866538"/>
    <s v="Indonesia|Imports of goods and services (% of GDP)|2016"/>
  </r>
  <r>
    <x v="4"/>
    <s v="IDN"/>
    <x v="7"/>
    <s v="NE.IMP.GNFS.ZS"/>
    <x v="7"/>
    <n v="19.178192635349987"/>
    <s v="Indonesia|Imports of goods and services (% of GDP)|2017"/>
  </r>
  <r>
    <x v="4"/>
    <s v="IDN"/>
    <x v="7"/>
    <s v="NE.IMP.GNFS.ZS"/>
    <x v="8"/>
    <n v="22.071562457954698"/>
    <s v="Indonesia|Imports of goods and services (% of GDP)|2018"/>
  </r>
  <r>
    <x v="4"/>
    <s v="IDN"/>
    <x v="7"/>
    <s v="NE.IMP.GNFS.ZS"/>
    <x v="9"/>
    <n v="19.036249738622523"/>
    <s v="Indonesia|Imports of goods and services (% of GDP)|2019"/>
  </r>
  <r>
    <x v="4"/>
    <s v="IDN"/>
    <x v="7"/>
    <s v="NE.IMP.GNFS.ZS"/>
    <x v="10"/>
    <n v="15.641007115350442"/>
    <s v="Indonesia|Imports of goods and services (% of GDP)|2020"/>
  </r>
  <r>
    <x v="4"/>
    <s v="IDN"/>
    <x v="7"/>
    <s v="NE.IMP.GNFS.ZS"/>
    <x v="11"/>
    <n v="18.788202635901825"/>
    <s v="Indonesia|Imports of goods and services (% of GDP)|2021"/>
  </r>
  <r>
    <x v="4"/>
    <s v="IDN"/>
    <x v="7"/>
    <s v="NE.IMP.GNFS.ZS"/>
    <x v="12"/>
    <n v="20.961758509662111"/>
    <s v="Indonesia|Imports of goods and services (% of GDP)|2022"/>
  </r>
  <r>
    <x v="4"/>
    <s v="IDN"/>
    <x v="7"/>
    <s v="NE.IMP.GNFS.ZS"/>
    <x v="13"/>
    <n v="19.651913324967101"/>
    <s v="Indonesia|Imports of goods and services (% of GDP)|2023"/>
  </r>
  <r>
    <x v="4"/>
    <s v="IDN"/>
    <x v="7"/>
    <s v="NE.IMP.GNFS.ZS"/>
    <x v="14"/>
    <n v="20.500289100561439"/>
    <s v="Indonesia|Imports of goods and services (% of GDP)|2024"/>
  </r>
  <r>
    <x v="4"/>
    <s v="IDN"/>
    <x v="7"/>
    <s v="NE.IMP.GNFS.ZS"/>
    <x v="15"/>
    <n v="20.544658752334634"/>
    <s v="Indonesia|Imports of goods and services (% of GDP)|2025"/>
  </r>
  <r>
    <x v="4"/>
    <s v="IDN"/>
    <x v="8"/>
    <s v="BX.KLT.DINV.CD.WD"/>
    <x v="0"/>
    <n v="15292009410.509899"/>
    <s v="Indonesia|Foreign direct investment, net inflows (BoP, current US$)|2010"/>
  </r>
  <r>
    <x v="4"/>
    <s v="IDN"/>
    <x v="8"/>
    <s v="BX.KLT.DINV.CD.WD"/>
    <x v="1"/>
    <n v="20564938226.718498"/>
    <s v="Indonesia|Foreign direct investment, net inflows (BoP, current US$)|2011"/>
  </r>
  <r>
    <x v="4"/>
    <s v="IDN"/>
    <x v="8"/>
    <s v="BX.KLT.DINV.CD.WD"/>
    <x v="2"/>
    <n v="21200778607.872601"/>
    <s v="Indonesia|Foreign direct investment, net inflows (BoP, current US$)|2012"/>
  </r>
  <r>
    <x v="4"/>
    <s v="IDN"/>
    <x v="8"/>
    <s v="BX.KLT.DINV.CD.WD"/>
    <x v="3"/>
    <n v="23281742361.530499"/>
    <s v="Indonesia|Foreign direct investment, net inflows (BoP, current US$)|2013"/>
  </r>
  <r>
    <x v="4"/>
    <s v="IDN"/>
    <x v="8"/>
    <s v="BX.KLT.DINV.CD.WD"/>
    <x v="4"/>
    <n v="25120732059.513401"/>
    <s v="Indonesia|Foreign direct investment, net inflows (BoP, current US$)|2014"/>
  </r>
  <r>
    <x v="4"/>
    <s v="IDN"/>
    <x v="8"/>
    <s v="BX.KLT.DINV.CD.WD"/>
    <x v="5"/>
    <n v="19779127976.9576"/>
    <s v="Indonesia|Foreign direct investment, net inflows (BoP, current US$)|2015"/>
  </r>
  <r>
    <x v="4"/>
    <s v="IDN"/>
    <x v="8"/>
    <s v="BX.KLT.DINV.CD.WD"/>
    <x v="6"/>
    <n v="4541713739.23769"/>
    <s v="Indonesia|Foreign direct investment, net inflows (BoP, current US$)|2016"/>
  </r>
  <r>
    <x v="4"/>
    <s v="IDN"/>
    <x v="8"/>
    <s v="BX.KLT.DINV.CD.WD"/>
    <x v="7"/>
    <n v="20510310832.446899"/>
    <s v="Indonesia|Foreign direct investment, net inflows (BoP, current US$)|2017"/>
  </r>
  <r>
    <x v="4"/>
    <s v="IDN"/>
    <x v="8"/>
    <s v="BX.KLT.DINV.CD.WD"/>
    <x v="8"/>
    <n v="18909826043.510502"/>
    <s v="Indonesia|Foreign direct investment, net inflows (BoP, current US$)|2018"/>
  </r>
  <r>
    <x v="4"/>
    <s v="IDN"/>
    <x v="8"/>
    <s v="BX.KLT.DINV.CD.WD"/>
    <x v="9"/>
    <n v="24993551748.0098"/>
    <s v="Indonesia|Foreign direct investment, net inflows (BoP, current US$)|2019"/>
  </r>
  <r>
    <x v="4"/>
    <s v="IDN"/>
    <x v="8"/>
    <s v="BX.KLT.DINV.CD.WD"/>
    <x v="10"/>
    <n v="19175077747.807701"/>
    <s v="Indonesia|Foreign direct investment, net inflows (BoP, current US$)|2020"/>
  </r>
  <r>
    <x v="4"/>
    <s v="IDN"/>
    <x v="8"/>
    <s v="BX.KLT.DINV.CD.WD"/>
    <x v="11"/>
    <n v="21213080329.8582"/>
    <s v="Indonesia|Foreign direct investment, net inflows (BoP, current US$)|2021"/>
  </r>
  <r>
    <x v="4"/>
    <s v="IDN"/>
    <x v="8"/>
    <s v="BX.KLT.DINV.CD.WD"/>
    <x v="12"/>
    <n v="24702029705.092602"/>
    <s v="Indonesia|Foreign direct investment, net inflows (BoP, current US$)|2022"/>
  </r>
  <r>
    <x v="4"/>
    <s v="IDN"/>
    <x v="8"/>
    <s v="BX.KLT.DINV.CD.WD"/>
    <x v="13"/>
    <n v="21543358781.382801"/>
    <s v="Indonesia|Foreign direct investment, net inflows (BoP, current US$)|2023"/>
  </r>
  <r>
    <x v="4"/>
    <s v="IDN"/>
    <x v="8"/>
    <s v="BX.KLT.DINV.CD.WD"/>
    <x v="14"/>
    <n v="24275445280.2272"/>
    <s v="Indonesia|Foreign direct investment, net inflows (BoP, current US$)|2024"/>
  </r>
  <r>
    <x v="4"/>
    <s v="IDN"/>
    <x v="8"/>
    <s v="BX.KLT.DINV.CD.WD"/>
    <x v="15"/>
    <n v="22283231891.839199"/>
    <s v="Indonesia|Foreign direct investment, net inflows (BoP, current US$)|2025"/>
  </r>
  <r>
    <x v="4"/>
    <s v="IDN"/>
    <x v="9"/>
    <s v="SP.POP.TOTL"/>
    <x v="0"/>
    <n v="246305322"/>
    <s v="Indonesia|Population, total|2010"/>
  </r>
  <r>
    <x v="4"/>
    <s v="IDN"/>
    <x v="9"/>
    <s v="SP.POP.TOTL"/>
    <x v="1"/>
    <n v="249470032"/>
    <s v="Indonesia|Population, total|2011"/>
  </r>
  <r>
    <x v="4"/>
    <s v="IDN"/>
    <x v="9"/>
    <s v="SP.POP.TOTL"/>
    <x v="2"/>
    <n v="252698525"/>
    <s v="Indonesia|Population, total|2012"/>
  </r>
  <r>
    <x v="4"/>
    <s v="IDN"/>
    <x v="9"/>
    <s v="SP.POP.TOTL"/>
    <x v="3"/>
    <n v="255852467"/>
    <s v="Indonesia|Population, total|2013"/>
  </r>
  <r>
    <x v="4"/>
    <s v="IDN"/>
    <x v="9"/>
    <s v="SP.POP.TOTL"/>
    <x v="4"/>
    <n v="258877399"/>
    <s v="Indonesia|Population, total|2014"/>
  </r>
  <r>
    <x v="4"/>
    <s v="IDN"/>
    <x v="9"/>
    <s v="SP.POP.TOTL"/>
    <x v="5"/>
    <n v="261799249"/>
    <s v="Indonesia|Population, total|2015"/>
  </r>
  <r>
    <x v="4"/>
    <s v="IDN"/>
    <x v="9"/>
    <s v="SP.POP.TOTL"/>
    <x v="6"/>
    <n v="264627418"/>
    <s v="Indonesia|Population, total|2016"/>
  </r>
  <r>
    <x v="4"/>
    <s v="IDN"/>
    <x v="9"/>
    <s v="SP.POP.TOTL"/>
    <x v="7"/>
    <n v="267346658"/>
    <s v="Indonesia|Population, total|2017"/>
  </r>
  <r>
    <x v="4"/>
    <s v="IDN"/>
    <x v="9"/>
    <s v="SP.POP.TOTL"/>
    <x v="8"/>
    <n v="269951846"/>
    <s v="Indonesia|Population, total|2018"/>
  </r>
  <r>
    <x v="4"/>
    <s v="IDN"/>
    <x v="9"/>
    <s v="SP.POP.TOTL"/>
    <x v="9"/>
    <n v="272489381"/>
    <s v="Indonesia|Population, total|2019"/>
  </r>
  <r>
    <x v="4"/>
    <s v="IDN"/>
    <x v="9"/>
    <s v="SP.POP.TOTL"/>
    <x v="10"/>
    <n v="274814866"/>
    <s v="Indonesia|Population, total|2020"/>
  </r>
  <r>
    <x v="4"/>
    <s v="IDN"/>
    <x v="9"/>
    <s v="SP.POP.TOTL"/>
    <x v="11"/>
    <n v="276758053"/>
    <s v="Indonesia|Population, total|2021"/>
  </r>
  <r>
    <x v="4"/>
    <s v="IDN"/>
    <x v="9"/>
    <s v="SP.POP.TOTL"/>
    <x v="12"/>
    <n v="278830529"/>
    <s v="Indonesia|Population, total|2022"/>
  </r>
  <r>
    <x v="4"/>
    <s v="IDN"/>
    <x v="9"/>
    <s v="SP.POP.TOTL"/>
    <x v="13"/>
    <n v="281190067"/>
    <s v="Indonesia|Population, total|2023"/>
  </r>
  <r>
    <x v="4"/>
    <s v="IDN"/>
    <x v="9"/>
    <s v="SP.POP.TOTL"/>
    <x v="14"/>
    <n v="283487931"/>
    <s v="Indonesia|Population, total|2024"/>
  </r>
  <r>
    <x v="4"/>
    <s v="IDN"/>
    <x v="9"/>
    <s v="SP.POP.TOTL"/>
    <x v="15"/>
    <n v="285721236"/>
    <s v="Indonesia|Population, total|2025"/>
  </r>
  <r>
    <x v="5"/>
    <s v="MYS"/>
    <x v="0"/>
    <s v="NY.GDP.MKTP.CD"/>
    <x v="0"/>
    <n v="255017638455.58969"/>
    <s v="Malaysia|GDP (current US$)|2010"/>
  </r>
  <r>
    <x v="5"/>
    <s v="MYS"/>
    <x v="0"/>
    <s v="NY.GDP.MKTP.CD"/>
    <x v="1"/>
    <n v="297951668674.83466"/>
    <s v="Malaysia|GDP (current US$)|2011"/>
  </r>
  <r>
    <x v="5"/>
    <s v="MYS"/>
    <x v="0"/>
    <s v="NY.GDP.MKTP.CD"/>
    <x v="2"/>
    <n v="314443047642.11096"/>
    <s v="Malaysia|GDP (current US$)|2012"/>
  </r>
  <r>
    <x v="5"/>
    <s v="MYS"/>
    <x v="0"/>
    <s v="NY.GDP.MKTP.CD"/>
    <x v="3"/>
    <n v="323276235524.41534"/>
    <s v="Malaysia|GDP (current US$)|2013"/>
  </r>
  <r>
    <x v="5"/>
    <s v="MYS"/>
    <x v="0"/>
    <s v="NY.GDP.MKTP.CD"/>
    <x v="4"/>
    <n v="338066095097.25439"/>
    <s v="Malaysia|GDP (current US$)|2014"/>
  </r>
  <r>
    <x v="5"/>
    <s v="MYS"/>
    <x v="0"/>
    <s v="NY.GDP.MKTP.CD"/>
    <x v="5"/>
    <n v="301355266964.94733"/>
    <s v="Malaysia|GDP (current US$)|2015"/>
  </r>
  <r>
    <x v="5"/>
    <s v="MYS"/>
    <x v="0"/>
    <s v="NY.GDP.MKTP.CD"/>
    <x v="6"/>
    <n v="301256033870.33356"/>
    <s v="Malaysia|GDP (current US$)|2016"/>
  </r>
  <r>
    <x v="5"/>
    <s v="MYS"/>
    <x v="0"/>
    <s v="NY.GDP.MKTP.CD"/>
    <x v="7"/>
    <n v="319109094160.34308"/>
    <s v="Malaysia|GDP (current US$)|2017"/>
  </r>
  <r>
    <x v="5"/>
    <s v="MYS"/>
    <x v="0"/>
    <s v="NY.GDP.MKTP.CD"/>
    <x v="8"/>
    <n v="358788845712.52972"/>
    <s v="Malaysia|GDP (current US$)|2018"/>
  </r>
  <r>
    <x v="5"/>
    <s v="MYS"/>
    <x v="0"/>
    <s v="NY.GDP.MKTP.CD"/>
    <x v="9"/>
    <n v="365177721021.51611"/>
    <s v="Malaysia|GDP (current US$)|2019"/>
  </r>
  <r>
    <x v="5"/>
    <s v="MYS"/>
    <x v="0"/>
    <s v="NY.GDP.MKTP.CD"/>
    <x v="10"/>
    <n v="337456163961.21118"/>
    <s v="Malaysia|GDP (current US$)|2020"/>
  </r>
  <r>
    <x v="5"/>
    <s v="MYS"/>
    <x v="0"/>
    <s v="NY.GDP.MKTP.CD"/>
    <x v="11"/>
    <n v="373784553029.9776"/>
    <s v="Malaysia|GDP (current US$)|2021"/>
  </r>
  <r>
    <x v="5"/>
    <s v="MYS"/>
    <x v="0"/>
    <s v="NY.GDP.MKTP.CD"/>
    <x v="12"/>
    <n v="407830525989.55347"/>
    <s v="Malaysia|GDP (current US$)|2022"/>
  </r>
  <r>
    <x v="5"/>
    <s v="MYS"/>
    <x v="0"/>
    <s v="NY.GDP.MKTP.CD"/>
    <x v="13"/>
    <n v="399949418752.65729"/>
    <s v="Malaysia|GDP (current US$)|2023"/>
  </r>
  <r>
    <x v="5"/>
    <s v="MYS"/>
    <x v="0"/>
    <s v="NY.GDP.MKTP.CD"/>
    <x v="14"/>
    <n v="422227005428.68805"/>
    <s v="Malaysia|GDP (current US$)|2024"/>
  </r>
  <r>
    <x v="5"/>
    <s v="MYS"/>
    <x v="0"/>
    <s v="NY.GDP.MKTP.CD"/>
    <x v="15"/>
    <n v="472193128644.59729"/>
    <s v="Malaysia|GDP (current US$)|2025"/>
  </r>
  <r>
    <x v="5"/>
    <s v="MYS"/>
    <x v="1"/>
    <s v="NY.GDP.MKTP.KD.ZG"/>
    <x v="0"/>
    <n v="7.4248473832609676"/>
    <s v="Malaysia|GDP growth (annual %)|2010"/>
  </r>
  <r>
    <x v="5"/>
    <s v="MYS"/>
    <x v="1"/>
    <s v="NY.GDP.MKTP.KD.ZG"/>
    <x v="1"/>
    <n v="5.2939128341400306"/>
    <s v="Malaysia|GDP growth (annual %)|2011"/>
  </r>
  <r>
    <x v="5"/>
    <s v="MYS"/>
    <x v="1"/>
    <s v="NY.GDP.MKTP.KD.ZG"/>
    <x v="2"/>
    <n v="5.4734541925385258"/>
    <s v="Malaysia|GDP growth (annual %)|2012"/>
  </r>
  <r>
    <x v="5"/>
    <s v="MYS"/>
    <x v="1"/>
    <s v="NY.GDP.MKTP.KD.ZG"/>
    <x v="3"/>
    <n v="4.6937225255789343"/>
    <s v="Malaysia|GDP growth (annual %)|2013"/>
  </r>
  <r>
    <x v="5"/>
    <s v="MYS"/>
    <x v="1"/>
    <s v="NY.GDP.MKTP.KD.ZG"/>
    <x v="4"/>
    <n v="6.0067219455820293"/>
    <s v="Malaysia|GDP growth (annual %)|2014"/>
  </r>
  <r>
    <x v="5"/>
    <s v="MYS"/>
    <x v="1"/>
    <s v="NY.GDP.MKTP.KD.ZG"/>
    <x v="5"/>
    <n v="5.091532421550113"/>
    <s v="Malaysia|GDP growth (annual %)|2015"/>
  </r>
  <r>
    <x v="5"/>
    <s v="MYS"/>
    <x v="1"/>
    <s v="NY.GDP.MKTP.KD.ZG"/>
    <x v="6"/>
    <n v="4.4497813976154106"/>
    <s v="Malaysia|GDP growth (annual %)|2016"/>
  </r>
  <r>
    <x v="5"/>
    <s v="MYS"/>
    <x v="1"/>
    <s v="NY.GDP.MKTP.KD.ZG"/>
    <x v="7"/>
    <n v="5.8127224098332846"/>
    <s v="Malaysia|GDP growth (annual %)|2017"/>
  </r>
  <r>
    <x v="5"/>
    <s v="MYS"/>
    <x v="1"/>
    <s v="NY.GDP.MKTP.KD.ZG"/>
    <x v="8"/>
    <n v="4.8430869763488147"/>
    <s v="Malaysia|GDP growth (annual %)|2018"/>
  </r>
  <r>
    <x v="5"/>
    <s v="MYS"/>
    <x v="1"/>
    <s v="NY.GDP.MKTP.KD.ZG"/>
    <x v="9"/>
    <n v="4.4131874212958593"/>
    <s v="Malaysia|GDP growth (annual %)|2019"/>
  </r>
  <r>
    <x v="5"/>
    <s v="MYS"/>
    <x v="1"/>
    <s v="NY.GDP.MKTP.KD.ZG"/>
    <x v="10"/>
    <n v="-5.4568465842670122"/>
    <s v="Malaysia|GDP growth (annual %)|2020"/>
  </r>
  <r>
    <x v="5"/>
    <s v="MYS"/>
    <x v="1"/>
    <s v="NY.GDP.MKTP.KD.ZG"/>
    <x v="11"/>
    <n v="3.3153495439916583"/>
    <s v="Malaysia|GDP growth (annual %)|2021"/>
  </r>
  <r>
    <x v="5"/>
    <s v="MYS"/>
    <x v="1"/>
    <s v="NY.GDP.MKTP.KD.ZG"/>
    <x v="12"/>
    <n v="9.0317372304445058"/>
    <s v="Malaysia|GDP growth (annual %)|2022"/>
  </r>
  <r>
    <x v="5"/>
    <s v="MYS"/>
    <x v="1"/>
    <s v="NY.GDP.MKTP.KD.ZG"/>
    <x v="13"/>
    <n v="3.5370638041056992"/>
    <s v="Malaysia|GDP growth (annual %)|2023"/>
  </r>
  <r>
    <x v="5"/>
    <s v="MYS"/>
    <x v="1"/>
    <s v="NY.GDP.MKTP.KD.ZG"/>
    <x v="14"/>
    <n v="5.1054592102404115"/>
    <s v="Malaysia|GDP growth (annual %)|2024"/>
  </r>
  <r>
    <x v="5"/>
    <s v="MYS"/>
    <x v="1"/>
    <s v="NY.GDP.MKTP.KD.ZG"/>
    <x v="15"/>
    <n v="5.1712708291105685"/>
    <s v="Malaysia|GDP growth (annual %)|2025"/>
  </r>
  <r>
    <x v="5"/>
    <s v="MYS"/>
    <x v="2"/>
    <s v="FP.CPI.TOTL.ZG"/>
    <x v="0"/>
    <n v="1.6228523557703529"/>
    <s v="Malaysia|Inflation, consumer prices (annual %)|2010"/>
  </r>
  <r>
    <x v="5"/>
    <s v="MYS"/>
    <x v="2"/>
    <s v="FP.CPI.TOTL.ZG"/>
    <x v="1"/>
    <n v="3.1744709215131"/>
    <s v="Malaysia|Inflation, consumer prices (annual %)|2011"/>
  </r>
  <r>
    <x v="5"/>
    <s v="MYS"/>
    <x v="2"/>
    <s v="FP.CPI.TOTL.ZG"/>
    <x v="2"/>
    <n v="1.663571024792059"/>
    <s v="Malaysia|Inflation, consumer prices (annual %)|2012"/>
  </r>
  <r>
    <x v="5"/>
    <s v="MYS"/>
    <x v="2"/>
    <s v="FP.CPI.TOTL.ZG"/>
    <x v="3"/>
    <n v="2.10501231233612"/>
    <s v="Malaysia|Inflation, consumer prices (annual %)|2013"/>
  </r>
  <r>
    <x v="5"/>
    <s v="MYS"/>
    <x v="2"/>
    <s v="FP.CPI.TOTL.ZG"/>
    <x v="4"/>
    <n v="3.142990508790954"/>
    <s v="Malaysia|Inflation, consumer prices (annual %)|2014"/>
  </r>
  <r>
    <x v="5"/>
    <s v="MYS"/>
    <x v="2"/>
    <s v="FP.CPI.TOTL.ZG"/>
    <x v="5"/>
    <n v="2.1043898023835852"/>
    <s v="Malaysia|Inflation, consumer prices (annual %)|2015"/>
  </r>
  <r>
    <x v="5"/>
    <s v="MYS"/>
    <x v="2"/>
    <s v="FP.CPI.TOTL.ZG"/>
    <x v="6"/>
    <n v="2.0905665952574242"/>
    <s v="Malaysia|Inflation, consumer prices (annual %)|2016"/>
  </r>
  <r>
    <x v="5"/>
    <s v="MYS"/>
    <x v="2"/>
    <s v="FP.CPI.TOTL.ZG"/>
    <x v="7"/>
    <n v="3.8712011577423739"/>
    <s v="Malaysia|Inflation, consumer prices (annual %)|2017"/>
  </r>
  <r>
    <x v="5"/>
    <s v="MYS"/>
    <x v="2"/>
    <s v="FP.CPI.TOTL.ZG"/>
    <x v="8"/>
    <n v="0.88470916057123505"/>
    <s v="Malaysia|Inflation, consumer prices (annual %)|2018"/>
  </r>
  <r>
    <x v="5"/>
    <s v="MYS"/>
    <x v="2"/>
    <s v="FP.CPI.TOTL.ZG"/>
    <x v="9"/>
    <n v="0.66289186576432635"/>
    <s v="Malaysia|Inflation, consumer prices (annual %)|2019"/>
  </r>
  <r>
    <x v="5"/>
    <s v="MYS"/>
    <x v="2"/>
    <s v="FP.CPI.TOTL.ZG"/>
    <x v="10"/>
    <n v="-1.1387021539304989"/>
    <s v="Malaysia|Inflation, consumer prices (annual %)|2020"/>
  </r>
  <r>
    <x v="5"/>
    <s v="MYS"/>
    <x v="2"/>
    <s v="FP.CPI.TOTL.ZG"/>
    <x v="11"/>
    <n v="2.477102414654468"/>
    <s v="Malaysia|Inflation, consumer prices (annual %)|2021"/>
  </r>
  <r>
    <x v="5"/>
    <s v="MYS"/>
    <x v="2"/>
    <s v="FP.CPI.TOTL.ZG"/>
    <x v="12"/>
    <n v="3.3786986254992848"/>
    <s v="Malaysia|Inflation, consumer prices (annual %)|2022"/>
  </r>
  <r>
    <x v="5"/>
    <s v="MYS"/>
    <x v="2"/>
    <s v="FP.CPI.TOTL.ZG"/>
    <x v="13"/>
    <n v="2.488865601257539"/>
    <s v="Malaysia|Inflation, consumer prices (annual %)|2023"/>
  </r>
  <r>
    <x v="5"/>
    <s v="MYS"/>
    <x v="2"/>
    <s v="FP.CPI.TOTL.ZG"/>
    <x v="14"/>
    <n v="1.834100204499002"/>
    <s v="Malaysia|Inflation, consumer prices (annual %)|2024"/>
  </r>
  <r>
    <x v="5"/>
    <s v="MYS"/>
    <x v="2"/>
    <s v="FP.CPI.TOTL.ZG"/>
    <x v="15"/>
    <n v="1.3806087229369191"/>
    <s v="Malaysia|Inflation, consumer prices (annual %)|2025"/>
  </r>
  <r>
    <x v="5"/>
    <s v="MYS"/>
    <x v="3"/>
    <s v="SL.UEM.TOTL.ZS"/>
    <x v="0"/>
    <n v="3.32"/>
    <s v="Malaysia|Unemployment, total (% of total labor force) (modeled ILO estimate)|2010"/>
  </r>
  <r>
    <x v="5"/>
    <s v="MYS"/>
    <x v="3"/>
    <s v="SL.UEM.TOTL.ZS"/>
    <x v="1"/>
    <n v="3.05"/>
    <s v="Malaysia|Unemployment, total (% of total labor force) (modeled ILO estimate)|2011"/>
  </r>
  <r>
    <x v="5"/>
    <s v="MYS"/>
    <x v="3"/>
    <s v="SL.UEM.TOTL.ZS"/>
    <x v="2"/>
    <n v="3.04"/>
    <s v="Malaysia|Unemployment, total (% of total labor force) (modeled ILO estimate)|2012"/>
  </r>
  <r>
    <x v="5"/>
    <s v="MYS"/>
    <x v="3"/>
    <s v="SL.UEM.TOTL.ZS"/>
    <x v="3"/>
    <n v="3.14"/>
    <s v="Malaysia|Unemployment, total (% of total labor force) (modeled ILO estimate)|2013"/>
  </r>
  <r>
    <x v="5"/>
    <s v="MYS"/>
    <x v="3"/>
    <s v="SL.UEM.TOTL.ZS"/>
    <x v="4"/>
    <n v="2.88"/>
    <s v="Malaysia|Unemployment, total (% of total labor force) (modeled ILO estimate)|2014"/>
  </r>
  <r>
    <x v="5"/>
    <s v="MYS"/>
    <x v="3"/>
    <s v="SL.UEM.TOTL.ZS"/>
    <x v="5"/>
    <n v="3.1"/>
    <s v="Malaysia|Unemployment, total (% of total labor force) (modeled ILO estimate)|2015"/>
  </r>
  <r>
    <x v="5"/>
    <s v="MYS"/>
    <x v="3"/>
    <s v="SL.UEM.TOTL.ZS"/>
    <x v="6"/>
    <n v="3.44"/>
    <s v="Malaysia|Unemployment, total (% of total labor force) (modeled ILO estimate)|2016"/>
  </r>
  <r>
    <x v="5"/>
    <s v="MYS"/>
    <x v="3"/>
    <s v="SL.UEM.TOTL.ZS"/>
    <x v="7"/>
    <n v="3.41"/>
    <s v="Malaysia|Unemployment, total (% of total labor force) (modeled ILO estimate)|2017"/>
  </r>
  <r>
    <x v="5"/>
    <s v="MYS"/>
    <x v="3"/>
    <s v="SL.UEM.TOTL.ZS"/>
    <x v="8"/>
    <n v="3.3"/>
    <s v="Malaysia|Unemployment, total (% of total labor force) (modeled ILO estimate)|2018"/>
  </r>
  <r>
    <x v="5"/>
    <s v="MYS"/>
    <x v="3"/>
    <s v="SL.UEM.TOTL.ZS"/>
    <x v="9"/>
    <n v="3.33"/>
    <s v="Malaysia|Unemployment, total (% of total labor force) (modeled ILO estimate)|2019"/>
  </r>
  <r>
    <x v="5"/>
    <s v="MYS"/>
    <x v="3"/>
    <s v="SL.UEM.TOTL.ZS"/>
    <x v="10"/>
    <n v="4.54"/>
    <s v="Malaysia|Unemployment, total (% of total labor force) (modeled ILO estimate)|2020"/>
  </r>
  <r>
    <x v="5"/>
    <s v="MYS"/>
    <x v="3"/>
    <s v="SL.UEM.TOTL.ZS"/>
    <x v="11"/>
    <n v="4.6399999999999997"/>
    <s v="Malaysia|Unemployment, total (% of total labor force) (modeled ILO estimate)|2021"/>
  </r>
  <r>
    <x v="5"/>
    <s v="MYS"/>
    <x v="3"/>
    <s v="SL.UEM.TOTL.ZS"/>
    <x v="12"/>
    <n v="3.93"/>
    <s v="Malaysia|Unemployment, total (% of total labor force) (modeled ILO estimate)|2022"/>
  </r>
  <r>
    <x v="5"/>
    <s v="MYS"/>
    <x v="3"/>
    <s v="SL.UEM.TOTL.ZS"/>
    <x v="13"/>
    <n v="3.8580000000000001"/>
    <s v="Malaysia|Unemployment, total (% of total labor force) (modeled ILO estimate)|2023"/>
  </r>
  <r>
    <x v="5"/>
    <s v="MYS"/>
    <x v="3"/>
    <s v="SL.UEM.TOTL.ZS"/>
    <x v="14"/>
    <n v="3.8460000000000001"/>
    <s v="Malaysia|Unemployment, total (% of total labor force) (modeled ILO estimate)|2024"/>
  </r>
  <r>
    <x v="5"/>
    <s v="MYS"/>
    <x v="3"/>
    <s v="SL.UEM.TOTL.ZS"/>
    <x v="15"/>
    <n v="3.7639999999999998"/>
    <s v="Malaysia|Unemployment, total (% of total labor force) (modeled ILO estimate)|2025"/>
  </r>
  <r>
    <x v="5"/>
    <s v="MYS"/>
    <x v="4"/>
    <s v="FR.INR.LEND"/>
    <x v="0"/>
    <n v="5"/>
    <s v="Malaysia|Lending interest rate (%)|2010"/>
  </r>
  <r>
    <x v="5"/>
    <s v="MYS"/>
    <x v="4"/>
    <s v="FR.INR.LEND"/>
    <x v="1"/>
    <n v="4.915"/>
    <s v="Malaysia|Lending interest rate (%)|2011"/>
  </r>
  <r>
    <x v="5"/>
    <s v="MYS"/>
    <x v="4"/>
    <s v="FR.INR.LEND"/>
    <x v="2"/>
    <n v="4.7858333333333318"/>
    <s v="Malaysia|Lending interest rate (%)|2012"/>
  </r>
  <r>
    <x v="5"/>
    <s v="MYS"/>
    <x v="4"/>
    <s v="FR.INR.LEND"/>
    <x v="3"/>
    <n v="4.6497999999999999"/>
    <s v="Malaysia|Lending interest rate (%)|2013"/>
  </r>
  <r>
    <x v="5"/>
    <s v="MYS"/>
    <x v="4"/>
    <s v="FR.INR.LEND"/>
    <x v="4"/>
    <n v="4.5870249999999997"/>
    <s v="Malaysia|Lending interest rate (%)|2014"/>
  </r>
  <r>
    <x v="5"/>
    <s v="MYS"/>
    <x v="4"/>
    <s v="FR.INR.LEND"/>
    <x v="5"/>
    <n v="4.5653750000000004"/>
    <s v="Malaysia|Lending interest rate (%)|2015"/>
  </r>
  <r>
    <x v="5"/>
    <s v="MYS"/>
    <x v="4"/>
    <s v="FR.INR.LEND"/>
    <x v="6"/>
    <n v="4.531066666666665"/>
    <s v="Malaysia|Lending interest rate (%)|2016"/>
  </r>
  <r>
    <x v="5"/>
    <s v="MYS"/>
    <x v="4"/>
    <s v="FR.INR.LEND"/>
    <x v="7"/>
    <n v="4.6080780864197521"/>
    <s v="Malaysia|Lending interest rate (%)|2017"/>
  </r>
  <r>
    <x v="5"/>
    <s v="MYS"/>
    <x v="4"/>
    <s v="FR.INR.LEND"/>
    <x v="8"/>
    <n v="4.9284403846153824"/>
    <s v="Malaysia|Lending interest rate (%)|2018"/>
  </r>
  <r>
    <x v="5"/>
    <s v="MYS"/>
    <x v="4"/>
    <s v="FR.INR.LEND"/>
    <x v="9"/>
    <n v="4.8768929487179484"/>
    <s v="Malaysia|Lending interest rate (%)|2019"/>
  </r>
  <r>
    <x v="5"/>
    <s v="MYS"/>
    <x v="4"/>
    <s v="FR.INR.LEND"/>
    <x v="10"/>
    <n v="3.944207692346152"/>
    <s v="Malaysia|Lending interest rate (%)|2020"/>
  </r>
  <r>
    <x v="5"/>
    <s v="MYS"/>
    <x v="4"/>
    <s v="FR.INR.LEND"/>
    <x v="11"/>
    <n v="3.4441064038461549"/>
    <s v="Malaysia|Lending interest rate (%)|2021"/>
  </r>
  <r>
    <x v="5"/>
    <s v="MYS"/>
    <x v="4"/>
    <s v="FR.INR.LEND"/>
    <x v="12"/>
    <n v="3.9080266666666681"/>
    <s v="Malaysia|Lending interest rate (%)|2022"/>
  </r>
  <r>
    <x v="5"/>
    <s v="MYS"/>
    <x v="4"/>
    <s v="FR.INR.LEND"/>
    <x v="13"/>
    <n v="5.3173750064102547"/>
    <s v="Malaysia|Lending interest rate (%)|2023"/>
  </r>
  <r>
    <x v="5"/>
    <s v="MYS"/>
    <x v="4"/>
    <s v="FR.INR.LEND"/>
    <x v="14"/>
    <n v="5.2826810000000002"/>
    <s v="Malaysia|Lending interest rate (%)|2024"/>
  </r>
  <r>
    <x v="5"/>
    <s v="MYS"/>
    <x v="4"/>
    <s v="FR.INR.LEND"/>
    <x v="15"/>
    <n v="4.8247288611111117"/>
    <s v="Malaysia|Lending interest rate (%)|2025"/>
  </r>
  <r>
    <x v="5"/>
    <s v="MYS"/>
    <x v="5"/>
    <s v="PA.NUS.FCRF"/>
    <x v="0"/>
    <n v="3.22108691472175"/>
    <s v="Malaysia|Official exchange rate (LCU per US$, period average)|2010"/>
  </r>
  <r>
    <x v="5"/>
    <s v="MYS"/>
    <x v="5"/>
    <s v="PA.NUS.FCRF"/>
    <x v="1"/>
    <n v="3.0600030105205782"/>
    <s v="Malaysia|Official exchange rate (LCU per US$, period average)|2011"/>
  </r>
  <r>
    <x v="5"/>
    <s v="MYS"/>
    <x v="5"/>
    <s v="PA.NUS.FCRF"/>
    <x v="2"/>
    <n v="3.0888008666218751"/>
    <s v="Malaysia|Official exchange rate (LCU per US$, period average)|2012"/>
  </r>
  <r>
    <x v="5"/>
    <s v="MYS"/>
    <x v="5"/>
    <s v="PA.NUS.FCRF"/>
    <x v="3"/>
    <n v="3.1509085500972449"/>
    <s v="Malaysia|Official exchange rate (LCU per US$, period average)|2013"/>
  </r>
  <r>
    <x v="5"/>
    <s v="MYS"/>
    <x v="5"/>
    <s v="PA.NUS.FCRF"/>
    <x v="4"/>
    <n v="3.2728597464304721"/>
    <s v="Malaysia|Official exchange rate (LCU per US$, period average)|2014"/>
  </r>
  <r>
    <x v="5"/>
    <s v="MYS"/>
    <x v="5"/>
    <s v="PA.NUS.FCRF"/>
    <x v="5"/>
    <n v="3.9055002630276801"/>
    <s v="Malaysia|Official exchange rate (LCU per US$, period average)|2015"/>
  </r>
  <r>
    <x v="5"/>
    <s v="MYS"/>
    <x v="5"/>
    <s v="PA.NUS.FCRF"/>
    <x v="6"/>
    <n v="4.1483006628787882"/>
    <s v="Malaysia|Official exchange rate (LCU per US$, period average)|2016"/>
  </r>
  <r>
    <x v="5"/>
    <s v="MYS"/>
    <x v="5"/>
    <s v="PA.NUS.FCRF"/>
    <x v="7"/>
    <n v="4.3004408776112424"/>
    <s v="Malaysia|Official exchange rate (LCU per US$, period average)|2017"/>
  </r>
  <r>
    <x v="5"/>
    <s v="MYS"/>
    <x v="5"/>
    <s v="PA.NUS.FCRF"/>
    <x v="8"/>
    <n v="4.0351301370680597"/>
    <s v="Malaysia|Official exchange rate (LCU per US$, period average)|2018"/>
  </r>
  <r>
    <x v="5"/>
    <s v="MYS"/>
    <x v="5"/>
    <s v="PA.NUS.FCRF"/>
    <x v="9"/>
    <n v="4.1424697356973104"/>
    <s v="Malaysia|Official exchange rate (LCU per US$, period average)|2019"/>
  </r>
  <r>
    <x v="5"/>
    <s v="MYS"/>
    <x v="5"/>
    <s v="PA.NUS.FCRF"/>
    <x v="10"/>
    <n v="4.2034819485188377"/>
    <s v="Malaysia|Official exchange rate (LCU per US$, period average)|2020"/>
  </r>
  <r>
    <x v="5"/>
    <s v="MYS"/>
    <x v="5"/>
    <s v="PA.NUS.FCRF"/>
    <x v="11"/>
    <n v="4.1432975981772051"/>
    <s v="Malaysia|Official exchange rate (LCU per US$, period average)|2021"/>
  </r>
  <r>
    <x v="5"/>
    <s v="MYS"/>
    <x v="5"/>
    <s v="PA.NUS.FCRF"/>
    <x v="12"/>
    <n v="4.4010763454007202"/>
    <s v="Malaysia|Official exchange rate (LCU per US$, period average)|2022"/>
  </r>
  <r>
    <x v="5"/>
    <s v="MYS"/>
    <x v="5"/>
    <s v="PA.NUS.FCRF"/>
    <x v="13"/>
    <n v="4.5606234324089749"/>
    <s v="Malaysia|Official exchange rate (LCU per US$, period average)|2023"/>
  </r>
  <r>
    <x v="5"/>
    <s v="MYS"/>
    <x v="5"/>
    <s v="PA.NUS.FCRF"/>
    <x v="14"/>
    <n v="4.5764279106858048"/>
    <s v="Malaysia|Official exchange rate (LCU per US$, period average)|2024"/>
  </r>
  <r>
    <x v="5"/>
    <s v="MYS"/>
    <x v="5"/>
    <s v="PA.NUS.FCRF"/>
    <x v="15"/>
    <n v="4.2844241504824323"/>
    <s v="Malaysia|Official exchange rate (LCU per US$, period average)|2025"/>
  </r>
  <r>
    <x v="5"/>
    <s v="MYS"/>
    <x v="6"/>
    <s v="NE.EXP.GNFS.ZS"/>
    <x v="0"/>
    <n v="86.930295069354329"/>
    <s v="Malaysia|Exports of goods and services (% of GDP)|2010"/>
  </r>
  <r>
    <x v="5"/>
    <s v="MYS"/>
    <x v="6"/>
    <s v="NE.EXP.GNFS.ZS"/>
    <x v="1"/>
    <n v="85.25544210859978"/>
    <s v="Malaysia|Exports of goods and services (% of GDP)|2011"/>
  </r>
  <r>
    <x v="5"/>
    <s v="MYS"/>
    <x v="6"/>
    <s v="NE.EXP.GNFS.ZS"/>
    <x v="2"/>
    <n v="79.299913925531172"/>
    <s v="Malaysia|Exports of goods and services (% of GDP)|2012"/>
  </r>
  <r>
    <x v="5"/>
    <s v="MYS"/>
    <x v="6"/>
    <s v="NE.EXP.GNFS.ZS"/>
    <x v="3"/>
    <n v="75.629041030262684"/>
    <s v="Malaysia|Exports of goods and services (% of GDP)|2013"/>
  </r>
  <r>
    <x v="5"/>
    <s v="MYS"/>
    <x v="6"/>
    <s v="NE.EXP.GNFS.ZS"/>
    <x v="4"/>
    <n v="73.793498625776479"/>
    <s v="Malaysia|Exports of goods and services (% of GDP)|2014"/>
  </r>
  <r>
    <x v="5"/>
    <s v="MYS"/>
    <x v="6"/>
    <s v="NE.EXP.GNFS.ZS"/>
    <x v="5"/>
    <n v="69.44869089707538"/>
    <s v="Malaysia|Exports of goods and services (% of GDP)|2015"/>
  </r>
  <r>
    <x v="5"/>
    <s v="MYS"/>
    <x v="6"/>
    <s v="NE.EXP.GNFS.ZS"/>
    <x v="6"/>
    <n v="66.775445454250786"/>
    <s v="Malaysia|Exports of goods and services (% of GDP)|2016"/>
  </r>
  <r>
    <x v="5"/>
    <s v="MYS"/>
    <x v="6"/>
    <s v="NE.EXP.GNFS.ZS"/>
    <x v="7"/>
    <n v="70.011742508596996"/>
    <s v="Malaysia|Exports of goods and services (% of GDP)|2017"/>
  </r>
  <r>
    <x v="5"/>
    <s v="MYS"/>
    <x v="6"/>
    <s v="NE.EXP.GNFS.ZS"/>
    <x v="8"/>
    <n v="68.55497141968597"/>
    <s v="Malaysia|Exports of goods and services (% of GDP)|2018"/>
  </r>
  <r>
    <x v="5"/>
    <s v="MYS"/>
    <x v="6"/>
    <s v="NE.EXP.GNFS.ZS"/>
    <x v="9"/>
    <n v="65.277766842857559"/>
    <s v="Malaysia|Exports of goods and services (% of GDP)|2019"/>
  </r>
  <r>
    <x v="5"/>
    <s v="MYS"/>
    <x v="6"/>
    <s v="NE.EXP.GNFS.ZS"/>
    <x v="10"/>
    <n v="61.577935905434934"/>
    <s v="Malaysia|Exports of goods and services (% of GDP)|2020"/>
  </r>
  <r>
    <x v="5"/>
    <s v="MYS"/>
    <x v="6"/>
    <s v="NE.EXP.GNFS.ZS"/>
    <x v="11"/>
    <n v="70.633055549333676"/>
    <s v="Malaysia|Exports of goods and services (% of GDP)|2021"/>
  </r>
  <r>
    <x v="5"/>
    <s v="MYS"/>
    <x v="6"/>
    <s v="NE.EXP.GNFS.ZS"/>
    <x v="12"/>
    <n v="76.807797482584391"/>
    <s v="Malaysia|Exports of goods and services (% of GDP)|2022"/>
  </r>
  <r>
    <x v="5"/>
    <s v="MYS"/>
    <x v="6"/>
    <s v="NE.EXP.GNFS.ZS"/>
    <x v="13"/>
    <n v="68.678953565316817"/>
    <s v="Malaysia|Exports of goods and services (% of GDP)|2023"/>
  </r>
  <r>
    <x v="5"/>
    <s v="MYS"/>
    <x v="6"/>
    <s v="NE.EXP.GNFS.ZS"/>
    <x v="14"/>
    <n v="71.34108498299085"/>
    <s v="Malaysia|Exports of goods and services (% of GDP)|2024"/>
  </r>
  <r>
    <x v="5"/>
    <s v="MYS"/>
    <x v="6"/>
    <s v="NE.EXP.GNFS.ZS"/>
    <x v="15"/>
    <n v="70.967789298694669"/>
    <s v="Malaysia|Exports of goods and services (% of GDP)|2025"/>
  </r>
  <r>
    <x v="5"/>
    <s v="MYS"/>
    <x v="7"/>
    <s v="NE.IMP.GNFS.ZS"/>
    <x v="0"/>
    <n v="71.014469817416852"/>
    <s v="Malaysia|Imports of goods and services (% of GDP)|2010"/>
  </r>
  <r>
    <x v="5"/>
    <s v="MYS"/>
    <x v="7"/>
    <s v="NE.IMP.GNFS.ZS"/>
    <x v="1"/>
    <n v="69.682242498626252"/>
    <s v="Malaysia|Imports of goods and services (% of GDP)|2011"/>
  </r>
  <r>
    <x v="5"/>
    <s v="MYS"/>
    <x v="7"/>
    <s v="NE.IMP.GNFS.ZS"/>
    <x v="2"/>
    <n v="68.54184084048218"/>
    <s v="Malaysia|Imports of goods and services (% of GDP)|2012"/>
  </r>
  <r>
    <x v="5"/>
    <s v="MYS"/>
    <x v="7"/>
    <s v="NE.IMP.GNFS.ZS"/>
    <x v="3"/>
    <n v="67.091950434610169"/>
    <s v="Malaysia|Imports of goods and services (% of GDP)|2013"/>
  </r>
  <r>
    <x v="5"/>
    <s v="MYS"/>
    <x v="7"/>
    <s v="NE.IMP.GNFS.ZS"/>
    <x v="4"/>
    <n v="64.51873255106679"/>
    <s v="Malaysia|Imports of goods and services (% of GDP)|2014"/>
  </r>
  <r>
    <x v="5"/>
    <s v="MYS"/>
    <x v="7"/>
    <s v="NE.IMP.GNFS.ZS"/>
    <x v="5"/>
    <n v="61.921381548184364"/>
    <s v="Malaysia|Imports of goods and services (% of GDP)|2015"/>
  </r>
  <r>
    <x v="5"/>
    <s v="MYS"/>
    <x v="7"/>
    <s v="NE.IMP.GNFS.ZS"/>
    <x v="6"/>
    <n v="60.123564571449073"/>
    <s v="Malaysia|Imports of goods and services (% of GDP)|2016"/>
  </r>
  <r>
    <x v="5"/>
    <s v="MYS"/>
    <x v="7"/>
    <s v="NE.IMP.GNFS.ZS"/>
    <x v="7"/>
    <n v="63.143430863359143"/>
    <s v="Malaysia|Imports of goods and services (% of GDP)|2017"/>
  </r>
  <r>
    <x v="5"/>
    <s v="MYS"/>
    <x v="7"/>
    <s v="NE.IMP.GNFS.ZS"/>
    <x v="8"/>
    <n v="61.847654082440286"/>
    <s v="Malaysia|Imports of goods and services (% of GDP)|2018"/>
  </r>
  <r>
    <x v="5"/>
    <s v="MYS"/>
    <x v="7"/>
    <s v="NE.IMP.GNFS.ZS"/>
    <x v="9"/>
    <n v="57.750795185085337"/>
    <s v="Malaysia|Imports of goods and services (% of GDP)|2019"/>
  </r>
  <r>
    <x v="5"/>
    <s v="MYS"/>
    <x v="7"/>
    <s v="NE.IMP.GNFS.ZS"/>
    <x v="10"/>
    <n v="55.210246532203541"/>
    <s v="Malaysia|Imports of goods and services (% of GDP)|2020"/>
  </r>
  <r>
    <x v="5"/>
    <s v="MYS"/>
    <x v="7"/>
    <s v="NE.IMP.GNFS.ZS"/>
    <x v="11"/>
    <n v="63.402939141392864"/>
    <s v="Malaysia|Imports of goods and services (% of GDP)|2021"/>
  </r>
  <r>
    <x v="5"/>
    <s v="MYS"/>
    <x v="7"/>
    <s v="NE.IMP.GNFS.ZS"/>
    <x v="12"/>
    <n v="69.616807271323125"/>
    <s v="Malaysia|Imports of goods and services (% of GDP)|2022"/>
  </r>
  <r>
    <x v="5"/>
    <s v="MYS"/>
    <x v="7"/>
    <s v="NE.IMP.GNFS.ZS"/>
    <x v="13"/>
    <n v="63.914508076282594"/>
    <s v="Malaysia|Imports of goods and services (% of GDP)|2023"/>
  </r>
  <r>
    <x v="5"/>
    <s v="MYS"/>
    <x v="7"/>
    <s v="NE.IMP.GNFS.ZS"/>
    <x v="14"/>
    <n v="66.021486178568225"/>
    <s v="Malaysia|Imports of goods and services (% of GDP)|2024"/>
  </r>
  <r>
    <x v="5"/>
    <s v="MYS"/>
    <x v="7"/>
    <s v="NE.IMP.GNFS.ZS"/>
    <x v="15"/>
    <n v="65.428631024254869"/>
    <s v="Malaysia|Imports of goods and services (% of GDP)|2025"/>
  </r>
  <r>
    <x v="5"/>
    <s v="MYS"/>
    <x v="8"/>
    <s v="BX.KLT.DINV.CD.WD"/>
    <x v="0"/>
    <n v="10885801851.6194"/>
    <s v="Malaysia|Foreign direct investment, net inflows (BoP, current US$)|2010"/>
  </r>
  <r>
    <x v="5"/>
    <s v="MYS"/>
    <x v="8"/>
    <s v="BX.KLT.DINV.CD.WD"/>
    <x v="1"/>
    <n v="15119439203.9543"/>
    <s v="Malaysia|Foreign direct investment, net inflows (BoP, current US$)|2011"/>
  </r>
  <r>
    <x v="5"/>
    <s v="MYS"/>
    <x v="8"/>
    <s v="BX.KLT.DINV.CD.WD"/>
    <x v="2"/>
    <n v="8895774250.70401"/>
    <s v="Malaysia|Foreign direct investment, net inflows (BoP, current US$)|2012"/>
  </r>
  <r>
    <x v="5"/>
    <s v="MYS"/>
    <x v="8"/>
    <s v="BX.KLT.DINV.CD.WD"/>
    <x v="3"/>
    <n v="11296279513.9209"/>
    <s v="Malaysia|Foreign direct investment, net inflows (BoP, current US$)|2013"/>
  </r>
  <r>
    <x v="5"/>
    <s v="MYS"/>
    <x v="8"/>
    <s v="BX.KLT.DINV.CD.WD"/>
    <x v="4"/>
    <n v="10619431582.9781"/>
    <s v="Malaysia|Foreign direct investment, net inflows (BoP, current US$)|2014"/>
  </r>
  <r>
    <x v="5"/>
    <s v="MYS"/>
    <x v="8"/>
    <s v="BX.KLT.DINV.CD.WD"/>
    <x v="5"/>
    <n v="9857162111.8232899"/>
    <s v="Malaysia|Foreign direct investment, net inflows (BoP, current US$)|2015"/>
  </r>
  <r>
    <x v="5"/>
    <s v="MYS"/>
    <x v="8"/>
    <s v="BX.KLT.DINV.CD.WD"/>
    <x v="6"/>
    <n v="13470089920.806999"/>
    <s v="Malaysia|Foreign direct investment, net inflows (BoP, current US$)|2016"/>
  </r>
  <r>
    <x v="5"/>
    <s v="MYS"/>
    <x v="8"/>
    <s v="BX.KLT.DINV.CD.WD"/>
    <x v="7"/>
    <n v="9368469822.6614494"/>
    <s v="Malaysia|Foreign direct investment, net inflows (BoP, current US$)|2017"/>
  </r>
  <r>
    <x v="5"/>
    <s v="MYS"/>
    <x v="8"/>
    <s v="BX.KLT.DINV.CD.WD"/>
    <x v="8"/>
    <n v="8304480741.6526604"/>
    <s v="Malaysia|Foreign direct investment, net inflows (BoP, current US$)|2018"/>
  </r>
  <r>
    <x v="5"/>
    <s v="MYS"/>
    <x v="8"/>
    <s v="BX.KLT.DINV.CD.WD"/>
    <x v="9"/>
    <n v="9154921685.0393391"/>
    <s v="Malaysia|Foreign direct investment, net inflows (BoP, current US$)|2019"/>
  </r>
  <r>
    <x v="5"/>
    <s v="MYS"/>
    <x v="8"/>
    <s v="BX.KLT.DINV.CD.WD"/>
    <x v="10"/>
    <n v="4058769678.6423101"/>
    <s v="Malaysia|Foreign direct investment, net inflows (BoP, current US$)|2020"/>
  </r>
  <r>
    <x v="5"/>
    <s v="MYS"/>
    <x v="8"/>
    <s v="BX.KLT.DINV.CD.WD"/>
    <x v="11"/>
    <n v="20245157326.802299"/>
    <s v="Malaysia|Foreign direct investment, net inflows (BoP, current US$)|2021"/>
  </r>
  <r>
    <x v="5"/>
    <s v="MYS"/>
    <x v="8"/>
    <s v="BX.KLT.DINV.CD.WD"/>
    <x v="12"/>
    <n v="15027992710.614401"/>
    <s v="Malaysia|Foreign direct investment, net inflows (BoP, current US$)|2022"/>
  </r>
  <r>
    <x v="5"/>
    <s v="MYS"/>
    <x v="8"/>
    <s v="BX.KLT.DINV.CD.WD"/>
    <x v="13"/>
    <n v="7918601050.2363501"/>
    <s v="Malaysia|Foreign direct investment, net inflows (BoP, current US$)|2023"/>
  </r>
  <r>
    <x v="5"/>
    <s v="MYS"/>
    <x v="8"/>
    <s v="BX.KLT.DINV.CD.WD"/>
    <x v="14"/>
    <n v="15593246086.766399"/>
    <s v="Malaysia|Foreign direct investment, net inflows (BoP, current US$)|2024"/>
  </r>
  <r>
    <x v="5"/>
    <s v="MYS"/>
    <x v="8"/>
    <s v="BX.KLT.DINV.CD.WD"/>
    <x v="15"/>
    <m/>
    <s v="Malaysia|Foreign direct investment, net inflows (BoP, current US$)|2025"/>
  </r>
  <r>
    <x v="5"/>
    <s v="MYS"/>
    <x v="9"/>
    <s v="SP.POP.TOTL"/>
    <x v="0"/>
    <n v="28655776"/>
    <s v="Malaysia|Population, total|2010"/>
  </r>
  <r>
    <x v="5"/>
    <s v="MYS"/>
    <x v="9"/>
    <s v="SP.POP.TOTL"/>
    <x v="1"/>
    <n v="29162039"/>
    <s v="Malaysia|Population, total|2011"/>
  </r>
  <r>
    <x v="5"/>
    <s v="MYS"/>
    <x v="9"/>
    <s v="SP.POP.TOTL"/>
    <x v="2"/>
    <n v="29662831"/>
    <s v="Malaysia|Population, total|2012"/>
  </r>
  <r>
    <x v="5"/>
    <s v="MYS"/>
    <x v="9"/>
    <s v="SP.POP.TOTL"/>
    <x v="3"/>
    <n v="30174265"/>
    <s v="Malaysia|Population, total|2013"/>
  </r>
  <r>
    <x v="5"/>
    <s v="MYS"/>
    <x v="9"/>
    <s v="SP.POP.TOTL"/>
    <x v="4"/>
    <n v="30696137"/>
    <s v="Malaysia|Population, total|2014"/>
  </r>
  <r>
    <x v="5"/>
    <s v="MYS"/>
    <x v="9"/>
    <s v="SP.POP.TOTL"/>
    <x v="5"/>
    <n v="31232798"/>
    <s v="Malaysia|Population, total|2015"/>
  </r>
  <r>
    <x v="5"/>
    <s v="MYS"/>
    <x v="9"/>
    <s v="SP.POP.TOTL"/>
    <x v="6"/>
    <n v="31789685"/>
    <s v="Malaysia|Population, total|2016"/>
  </r>
  <r>
    <x v="5"/>
    <s v="MYS"/>
    <x v="9"/>
    <s v="SP.POP.TOTL"/>
    <x v="7"/>
    <n v="32355644"/>
    <s v="Malaysia|Population, total|2017"/>
  </r>
  <r>
    <x v="5"/>
    <s v="MYS"/>
    <x v="9"/>
    <s v="SP.POP.TOTL"/>
    <x v="8"/>
    <n v="32910967"/>
    <s v="Malaysia|Population, total|2018"/>
  </r>
  <r>
    <x v="5"/>
    <s v="MYS"/>
    <x v="9"/>
    <s v="SP.POP.TOTL"/>
    <x v="9"/>
    <n v="33440596"/>
    <s v="Malaysia|Population, total|2019"/>
  </r>
  <r>
    <x v="5"/>
    <s v="MYS"/>
    <x v="9"/>
    <s v="SP.POP.TOTL"/>
    <x v="10"/>
    <n v="33889558"/>
    <s v="Malaysia|Population, total|2020"/>
  </r>
  <r>
    <x v="5"/>
    <s v="MYS"/>
    <x v="9"/>
    <s v="SP.POP.TOTL"/>
    <x v="11"/>
    <n v="34282399"/>
    <s v="Malaysia|Population, total|2021"/>
  </r>
  <r>
    <x v="5"/>
    <s v="MYS"/>
    <x v="9"/>
    <s v="SP.POP.TOTL"/>
    <x v="12"/>
    <n v="34695493"/>
    <s v="Malaysia|Population, total|2022"/>
  </r>
  <r>
    <x v="5"/>
    <s v="MYS"/>
    <x v="9"/>
    <s v="SP.POP.TOTL"/>
    <x v="13"/>
    <n v="35126298"/>
    <s v="Malaysia|Population, total|2023"/>
  </r>
  <r>
    <x v="5"/>
    <s v="MYS"/>
    <x v="9"/>
    <s v="SP.POP.TOTL"/>
    <x v="14"/>
    <n v="35557673"/>
    <s v="Malaysia|Population, total|2024"/>
  </r>
  <r>
    <x v="5"/>
    <s v="MYS"/>
    <x v="9"/>
    <s v="SP.POP.TOTL"/>
    <x v="15"/>
    <n v="35977838"/>
    <s v="Malaysia|Population, total|2025"/>
  </r>
  <r>
    <x v="6"/>
    <s v="DEU"/>
    <x v="0"/>
    <s v="NY.GDP.MKTP.CD"/>
    <x v="0"/>
    <n v="3467093769666.6733"/>
    <s v="Germany|GDP (current US$)|2010"/>
  </r>
  <r>
    <x v="6"/>
    <s v="DEU"/>
    <x v="0"/>
    <s v="NY.GDP.MKTP.CD"/>
    <x v="1"/>
    <n v="3823575803793.7817"/>
    <s v="Germany|GDP (current US$)|2011"/>
  </r>
  <r>
    <x v="6"/>
    <s v="DEU"/>
    <x v="0"/>
    <s v="NY.GDP.MKTP.CD"/>
    <x v="2"/>
    <n v="3596483233406.251"/>
    <s v="Germany|GDP (current US$)|2012"/>
  </r>
  <r>
    <x v="6"/>
    <s v="DEU"/>
    <x v="0"/>
    <s v="NY.GDP.MKTP.CD"/>
    <x v="3"/>
    <n v="3807023797050.9912"/>
    <s v="Germany|GDP (current US$)|2013"/>
  </r>
  <r>
    <x v="6"/>
    <s v="DEU"/>
    <x v="0"/>
    <s v="NY.GDP.MKTP.CD"/>
    <x v="4"/>
    <n v="3964870735760.7705"/>
    <s v="Germany|GDP (current US$)|2014"/>
  </r>
  <r>
    <x v="6"/>
    <s v="DEU"/>
    <x v="0"/>
    <s v="NY.GDP.MKTP.CD"/>
    <x v="5"/>
    <n v="3425099578746.0918"/>
    <s v="Germany|GDP (current US$)|2015"/>
  </r>
  <r>
    <x v="6"/>
    <s v="DEU"/>
    <x v="0"/>
    <s v="NY.GDP.MKTP.CD"/>
    <x v="6"/>
    <n v="3536787895178.9971"/>
    <s v="Germany|GDP (current US$)|2016"/>
  </r>
  <r>
    <x v="6"/>
    <s v="DEU"/>
    <x v="0"/>
    <s v="NY.GDP.MKTP.CD"/>
    <x v="7"/>
    <n v="3765351626105.8887"/>
    <s v="Germany|GDP (current US$)|2017"/>
  </r>
  <r>
    <x v="6"/>
    <s v="DEU"/>
    <x v="0"/>
    <s v="NY.GDP.MKTP.CD"/>
    <x v="8"/>
    <n v="4055433215301.958"/>
    <s v="Germany|GDP (current US$)|2018"/>
  </r>
  <r>
    <x v="6"/>
    <s v="DEU"/>
    <x v="0"/>
    <s v="NY.GDP.MKTP.CD"/>
    <x v="9"/>
    <n v="3959894794039.2095"/>
    <s v="Germany|GDP (current US$)|2019"/>
  </r>
  <r>
    <x v="6"/>
    <s v="DEU"/>
    <x v="0"/>
    <s v="NY.GDP.MKTP.CD"/>
    <x v="10"/>
    <n v="3941398957073.9409"/>
    <s v="Germany|GDP (current US$)|2020"/>
  </r>
  <r>
    <x v="6"/>
    <s v="DEU"/>
    <x v="0"/>
    <s v="NY.GDP.MKTP.CD"/>
    <x v="11"/>
    <n v="4355251953410.7827"/>
    <s v="Germany|GDP (current US$)|2021"/>
  </r>
  <r>
    <x v="6"/>
    <s v="DEU"/>
    <x v="0"/>
    <s v="NY.GDP.MKTP.CD"/>
    <x v="12"/>
    <n v="4201021706478.6157"/>
    <s v="Germany|GDP (current US$)|2022"/>
  </r>
  <r>
    <x v="6"/>
    <s v="DEU"/>
    <x v="0"/>
    <s v="NY.GDP.MKTP.CD"/>
    <x v="13"/>
    <n v="4562207532490.2764"/>
    <s v="Germany|GDP (current US$)|2023"/>
  </r>
  <r>
    <x v="6"/>
    <s v="DEU"/>
    <x v="0"/>
    <s v="NY.GDP.MKTP.CD"/>
    <x v="14"/>
    <n v="4685592577804.6865"/>
    <s v="Germany|GDP (current US$)|2024"/>
  </r>
  <r>
    <x v="6"/>
    <s v="DEU"/>
    <x v="0"/>
    <s v="NY.GDP.MKTP.CD"/>
    <x v="15"/>
    <n v="5050922925047.0518"/>
    <s v="Germany|GDP (current US$)|2025"/>
  </r>
  <r>
    <x v="6"/>
    <s v="DEU"/>
    <x v="1"/>
    <s v="NY.GDP.MKTP.KD.ZG"/>
    <x v="0"/>
    <n v="4.1346377852275822"/>
    <s v="Germany|GDP growth (annual %)|2010"/>
  </r>
  <r>
    <x v="6"/>
    <s v="DEU"/>
    <x v="1"/>
    <s v="NY.GDP.MKTP.KD.ZG"/>
    <x v="1"/>
    <n v="3.7579688448933695"/>
    <s v="Germany|GDP growth (annual %)|2011"/>
  </r>
  <r>
    <x v="6"/>
    <s v="DEU"/>
    <x v="1"/>
    <s v="NY.GDP.MKTP.KD.ZG"/>
    <x v="2"/>
    <n v="0.46351203670920427"/>
    <s v="Germany|GDP growth (annual %)|2012"/>
  </r>
  <r>
    <x v="6"/>
    <s v="DEU"/>
    <x v="1"/>
    <s v="NY.GDP.MKTP.KD.ZG"/>
    <x v="3"/>
    <n v="0.39699558377914457"/>
    <s v="Germany|GDP growth (annual %)|2013"/>
  </r>
  <r>
    <x v="6"/>
    <s v="DEU"/>
    <x v="1"/>
    <s v="NY.GDP.MKTP.KD.ZG"/>
    <x v="4"/>
    <n v="2.1801860216801714"/>
    <s v="Germany|GDP growth (annual %)|2014"/>
  </r>
  <r>
    <x v="6"/>
    <s v="DEU"/>
    <x v="1"/>
    <s v="NY.GDP.MKTP.KD.ZG"/>
    <x v="5"/>
    <n v="1.6630060233477479"/>
    <s v="Germany|GDP growth (annual %)|2015"/>
  </r>
  <r>
    <x v="6"/>
    <s v="DEU"/>
    <x v="1"/>
    <s v="NY.GDP.MKTP.KD.ZG"/>
    <x v="6"/>
    <n v="2.2222221625937095"/>
    <s v="Germany|GDP growth (annual %)|2016"/>
  </r>
  <r>
    <x v="6"/>
    <s v="DEU"/>
    <x v="1"/>
    <s v="NY.GDP.MKTP.KD.ZG"/>
    <x v="7"/>
    <n v="2.7979067205509978"/>
    <s v="Germany|GDP growth (annual %)|2017"/>
  </r>
  <r>
    <x v="6"/>
    <s v="DEU"/>
    <x v="1"/>
    <s v="NY.GDP.MKTP.KD.ZG"/>
    <x v="8"/>
    <n v="1.1356960459984862"/>
    <s v="Germany|GDP growth (annual %)|2018"/>
  </r>
  <r>
    <x v="6"/>
    <s v="DEU"/>
    <x v="1"/>
    <s v="NY.GDP.MKTP.KD.ZG"/>
    <x v="9"/>
    <n v="0.97773469703878391"/>
    <s v="Germany|GDP growth (annual %)|2019"/>
  </r>
  <r>
    <x v="6"/>
    <s v="DEU"/>
    <x v="1"/>
    <s v="NY.GDP.MKTP.KD.ZG"/>
    <x v="10"/>
    <n v="-4.1319144323994692"/>
    <s v="Germany|GDP growth (annual %)|2020"/>
  </r>
  <r>
    <x v="6"/>
    <s v="DEU"/>
    <x v="1"/>
    <s v="NY.GDP.MKTP.KD.ZG"/>
    <x v="11"/>
    <n v="3.9099999420410825"/>
    <s v="Germany|GDP growth (annual %)|2021"/>
  </r>
  <r>
    <x v="6"/>
    <s v="DEU"/>
    <x v="1"/>
    <s v="NY.GDP.MKTP.KD.ZG"/>
    <x v="12"/>
    <n v="1.8092581243060977"/>
    <s v="Germany|GDP growth (annual %)|2022"/>
  </r>
  <r>
    <x v="6"/>
    <s v="DEU"/>
    <x v="1"/>
    <s v="NY.GDP.MKTP.KD.ZG"/>
    <x v="13"/>
    <n v="-0.86964757857332131"/>
    <s v="Germany|GDP growth (annual %)|2023"/>
  </r>
  <r>
    <x v="6"/>
    <s v="DEU"/>
    <x v="1"/>
    <s v="NY.GDP.MKTP.KD.ZG"/>
    <x v="14"/>
    <n v="-0.4958518972603656"/>
    <s v="Germany|GDP growth (annual %)|2024"/>
  </r>
  <r>
    <x v="6"/>
    <s v="DEU"/>
    <x v="1"/>
    <s v="NY.GDP.MKTP.KD.ZG"/>
    <x v="15"/>
    <n v="0.23957834211788054"/>
    <s v="Germany|GDP growth (annual %)|2025"/>
  </r>
  <r>
    <x v="6"/>
    <s v="DEU"/>
    <x v="2"/>
    <s v="FP.CPI.TOTL.ZG"/>
    <x v="0"/>
    <n v="1.1038103778926049"/>
    <s v="Germany|Inflation, consumer prices (annual %)|2010"/>
  </r>
  <r>
    <x v="6"/>
    <s v="DEU"/>
    <x v="2"/>
    <s v="FP.CPI.TOTL.ZG"/>
    <x v="1"/>
    <n v="2.0751728373587408"/>
    <s v="Germany|Inflation, consumer prices (annual %)|2011"/>
  </r>
  <r>
    <x v="6"/>
    <s v="DEU"/>
    <x v="2"/>
    <s v="FP.CPI.TOTL.ZG"/>
    <x v="2"/>
    <n v="2.0084888478295619"/>
    <s v="Germany|Inflation, consumer prices (annual %)|2012"/>
  </r>
  <r>
    <x v="6"/>
    <s v="DEU"/>
    <x v="2"/>
    <s v="FP.CPI.TOTL.ZG"/>
    <x v="3"/>
    <n v="1.504723302518763"/>
    <s v="Germany|Inflation, consumer prices (annual %)|2013"/>
  </r>
  <r>
    <x v="6"/>
    <s v="DEU"/>
    <x v="2"/>
    <s v="FP.CPI.TOTL.ZG"/>
    <x v="4"/>
    <n v="0.90679400043424585"/>
    <s v="Germany|Inflation, consumer prices (annual %)|2014"/>
  </r>
  <r>
    <x v="6"/>
    <s v="DEU"/>
    <x v="2"/>
    <s v="FP.CPI.TOTL.ZG"/>
    <x v="5"/>
    <n v="0.51442613712545615"/>
    <s v="Germany|Inflation, consumer prices (annual %)|2015"/>
  </r>
  <r>
    <x v="6"/>
    <s v="DEU"/>
    <x v="2"/>
    <s v="FP.CPI.TOTL.ZG"/>
    <x v="6"/>
    <n v="0.49174700844517449"/>
    <s v="Germany|Inflation, consumer prices (annual %)|2016"/>
  </r>
  <r>
    <x v="6"/>
    <s v="DEU"/>
    <x v="2"/>
    <s v="FP.CPI.TOTL.ZG"/>
    <x v="7"/>
    <n v="1.5094948510962829"/>
    <s v="Germany|Inflation, consumer prices (annual %)|2017"/>
  </r>
  <r>
    <x v="6"/>
    <s v="DEU"/>
    <x v="2"/>
    <s v="FP.CPI.TOTL.ZG"/>
    <x v="8"/>
    <n v="1.732168797669418"/>
    <s v="Germany|Inflation, consumer prices (annual %)|2018"/>
  </r>
  <r>
    <x v="6"/>
    <s v="DEU"/>
    <x v="2"/>
    <s v="FP.CPI.TOTL.ZG"/>
    <x v="9"/>
    <n v="1.4456597688825339"/>
    <s v="Germany|Inflation, consumer prices (annual %)|2019"/>
  </r>
  <r>
    <x v="6"/>
    <s v="DEU"/>
    <x v="2"/>
    <s v="FP.CPI.TOTL.ZG"/>
    <x v="10"/>
    <n v="0.1448779258139819"/>
    <s v="Germany|Inflation, consumer prices (annual %)|2020"/>
  </r>
  <r>
    <x v="6"/>
    <s v="DEU"/>
    <x v="2"/>
    <s v="FP.CPI.TOTL.ZG"/>
    <x v="11"/>
    <n v="3.0666666666667299"/>
    <s v="Germany|Inflation, consumer prices (annual %)|2021"/>
  </r>
  <r>
    <x v="6"/>
    <s v="DEU"/>
    <x v="2"/>
    <s v="FP.CPI.TOTL.ZG"/>
    <x v="12"/>
    <n v="6.8725743855109682"/>
    <s v="Germany|Inflation, consumer prices (annual %)|2022"/>
  </r>
  <r>
    <x v="6"/>
    <s v="DEU"/>
    <x v="2"/>
    <s v="FP.CPI.TOTL.ZG"/>
    <x v="13"/>
    <n v="5.9464366772582347"/>
    <s v="Germany|Inflation, consumer prices (annual %)|2023"/>
  </r>
  <r>
    <x v="6"/>
    <s v="DEU"/>
    <x v="2"/>
    <s v="FP.CPI.TOTL.ZG"/>
    <x v="14"/>
    <n v="2.2564981433876019"/>
    <s v="Germany|Inflation, consumer prices (annual %)|2024"/>
  </r>
  <r>
    <x v="6"/>
    <s v="DEU"/>
    <x v="2"/>
    <s v="FP.CPI.TOTL.ZG"/>
    <x v="15"/>
    <n v="2.1717877094972131"/>
    <s v="Germany|Inflation, consumer prices (annual %)|2025"/>
  </r>
  <r>
    <x v="6"/>
    <s v="DEU"/>
    <x v="3"/>
    <s v="SL.UEM.TOTL.ZS"/>
    <x v="0"/>
    <n v="7.0430000000000001"/>
    <s v="Germany|Unemployment, total (% of total labor force) (modeled ILO estimate)|2010"/>
  </r>
  <r>
    <x v="6"/>
    <s v="DEU"/>
    <x v="3"/>
    <s v="SL.UEM.TOTL.ZS"/>
    <x v="1"/>
    <n v="5.9669999999999996"/>
    <s v="Germany|Unemployment, total (% of total labor force) (modeled ILO estimate)|2011"/>
  </r>
  <r>
    <x v="6"/>
    <s v="DEU"/>
    <x v="3"/>
    <s v="SL.UEM.TOTL.ZS"/>
    <x v="2"/>
    <n v="5.3719999999999999"/>
    <s v="Germany|Unemployment, total (% of total labor force) (modeled ILO estimate)|2012"/>
  </r>
  <r>
    <x v="6"/>
    <s v="DEU"/>
    <x v="3"/>
    <s v="SL.UEM.TOTL.ZS"/>
    <x v="3"/>
    <n v="5.3159999999999998"/>
    <s v="Germany|Unemployment, total (% of total labor force) (modeled ILO estimate)|2013"/>
  </r>
  <r>
    <x v="6"/>
    <s v="DEU"/>
    <x v="3"/>
    <s v="SL.UEM.TOTL.ZS"/>
    <x v="4"/>
    <n v="4.9790000000000001"/>
    <s v="Germany|Unemployment, total (% of total labor force) (modeled ILO estimate)|2014"/>
  </r>
  <r>
    <x v="6"/>
    <s v="DEU"/>
    <x v="3"/>
    <s v="SL.UEM.TOTL.ZS"/>
    <x v="5"/>
    <n v="4.6120000000000001"/>
    <s v="Germany|Unemployment, total (% of total labor force) (modeled ILO estimate)|2015"/>
  </r>
  <r>
    <x v="6"/>
    <s v="DEU"/>
    <x v="3"/>
    <s v="SL.UEM.TOTL.ZS"/>
    <x v="6"/>
    <n v="4.1040000000000001"/>
    <s v="Germany|Unemployment, total (% of total labor force) (modeled ILO estimate)|2016"/>
  </r>
  <r>
    <x v="6"/>
    <s v="DEU"/>
    <x v="3"/>
    <s v="SL.UEM.TOTL.ZS"/>
    <x v="7"/>
    <n v="3.7810000000000001"/>
    <s v="Germany|Unemployment, total (% of total labor force) (modeled ILO estimate)|2017"/>
  </r>
  <r>
    <x v="6"/>
    <s v="DEU"/>
    <x v="3"/>
    <s v="SL.UEM.TOTL.ZS"/>
    <x v="8"/>
    <n v="3.3839999999999999"/>
    <s v="Germany|Unemployment, total (% of total labor force) (modeled ILO estimate)|2018"/>
  </r>
  <r>
    <x v="6"/>
    <s v="DEU"/>
    <x v="3"/>
    <s v="SL.UEM.TOTL.ZS"/>
    <x v="9"/>
    <n v="3.1629999999999998"/>
    <s v="Germany|Unemployment, total (% of total labor force) (modeled ILO estimate)|2019"/>
  </r>
  <r>
    <x v="6"/>
    <s v="DEU"/>
    <x v="3"/>
    <s v="SL.UEM.TOTL.ZS"/>
    <x v="10"/>
    <n v="3.8809999999999998"/>
    <s v="Germany|Unemployment, total (% of total labor force) (modeled ILO estimate)|2020"/>
  </r>
  <r>
    <x v="6"/>
    <s v="DEU"/>
    <x v="3"/>
    <s v="SL.UEM.TOTL.ZS"/>
    <x v="11"/>
    <n v="3.5939999999999999"/>
    <s v="Germany|Unemployment, total (% of total labor force) (modeled ILO estimate)|2021"/>
  </r>
  <r>
    <x v="6"/>
    <s v="DEU"/>
    <x v="3"/>
    <s v="SL.UEM.TOTL.ZS"/>
    <x v="12"/>
    <n v="3.137"/>
    <s v="Germany|Unemployment, total (% of total labor force) (modeled ILO estimate)|2022"/>
  </r>
  <r>
    <x v="6"/>
    <s v="DEU"/>
    <x v="3"/>
    <s v="SL.UEM.TOTL.ZS"/>
    <x v="13"/>
    <n v="3.0710000000000002"/>
    <s v="Germany|Unemployment, total (% of total labor force) (modeled ILO estimate)|2023"/>
  </r>
  <r>
    <x v="6"/>
    <s v="DEU"/>
    <x v="3"/>
    <s v="SL.UEM.TOTL.ZS"/>
    <x v="14"/>
    <n v="3.4"/>
    <s v="Germany|Unemployment, total (% of total labor force) (modeled ILO estimate)|2024"/>
  </r>
  <r>
    <x v="6"/>
    <s v="DEU"/>
    <x v="3"/>
    <s v="SL.UEM.TOTL.ZS"/>
    <x v="15"/>
    <n v="3.7109999999999999"/>
    <s v="Germany|Unemployment, total (% of total labor force) (modeled ILO estimate)|2025"/>
  </r>
  <r>
    <x v="6"/>
    <s v="DEU"/>
    <x v="4"/>
    <s v="FR.INR.LEND"/>
    <x v="0"/>
    <m/>
    <s v="Germany|Lending interest rate (%)|2010"/>
  </r>
  <r>
    <x v="6"/>
    <s v="DEU"/>
    <x v="4"/>
    <s v="FR.INR.LEND"/>
    <x v="1"/>
    <m/>
    <s v="Germany|Lending interest rate (%)|2011"/>
  </r>
  <r>
    <x v="6"/>
    <s v="DEU"/>
    <x v="4"/>
    <s v="FR.INR.LEND"/>
    <x v="2"/>
    <m/>
    <s v="Germany|Lending interest rate (%)|2012"/>
  </r>
  <r>
    <x v="6"/>
    <s v="DEU"/>
    <x v="4"/>
    <s v="FR.INR.LEND"/>
    <x v="3"/>
    <m/>
    <s v="Germany|Lending interest rate (%)|2013"/>
  </r>
  <r>
    <x v="6"/>
    <s v="DEU"/>
    <x v="4"/>
    <s v="FR.INR.LEND"/>
    <x v="4"/>
    <m/>
    <s v="Germany|Lending interest rate (%)|2014"/>
  </r>
  <r>
    <x v="6"/>
    <s v="DEU"/>
    <x v="4"/>
    <s v="FR.INR.LEND"/>
    <x v="5"/>
    <m/>
    <s v="Germany|Lending interest rate (%)|2015"/>
  </r>
  <r>
    <x v="6"/>
    <s v="DEU"/>
    <x v="4"/>
    <s v="FR.INR.LEND"/>
    <x v="6"/>
    <m/>
    <s v="Germany|Lending interest rate (%)|2016"/>
  </r>
  <r>
    <x v="6"/>
    <s v="DEU"/>
    <x v="4"/>
    <s v="FR.INR.LEND"/>
    <x v="7"/>
    <m/>
    <s v="Germany|Lending interest rate (%)|2017"/>
  </r>
  <r>
    <x v="6"/>
    <s v="DEU"/>
    <x v="4"/>
    <s v="FR.INR.LEND"/>
    <x v="8"/>
    <m/>
    <s v="Germany|Lending interest rate (%)|2018"/>
  </r>
  <r>
    <x v="6"/>
    <s v="DEU"/>
    <x v="4"/>
    <s v="FR.INR.LEND"/>
    <x v="9"/>
    <m/>
    <s v="Germany|Lending interest rate (%)|2019"/>
  </r>
  <r>
    <x v="6"/>
    <s v="DEU"/>
    <x v="4"/>
    <s v="FR.INR.LEND"/>
    <x v="10"/>
    <m/>
    <s v="Germany|Lending interest rate (%)|2020"/>
  </r>
  <r>
    <x v="6"/>
    <s v="DEU"/>
    <x v="4"/>
    <s v="FR.INR.LEND"/>
    <x v="11"/>
    <m/>
    <s v="Germany|Lending interest rate (%)|2021"/>
  </r>
  <r>
    <x v="6"/>
    <s v="DEU"/>
    <x v="4"/>
    <s v="FR.INR.LEND"/>
    <x v="12"/>
    <m/>
    <s v="Germany|Lending interest rate (%)|2022"/>
  </r>
  <r>
    <x v="6"/>
    <s v="DEU"/>
    <x v="4"/>
    <s v="FR.INR.LEND"/>
    <x v="13"/>
    <m/>
    <s v="Germany|Lending interest rate (%)|2023"/>
  </r>
  <r>
    <x v="6"/>
    <s v="DEU"/>
    <x v="4"/>
    <s v="FR.INR.LEND"/>
    <x v="14"/>
    <m/>
    <s v="Germany|Lending interest rate (%)|2024"/>
  </r>
  <r>
    <x v="6"/>
    <s v="DEU"/>
    <x v="4"/>
    <s v="FR.INR.LEND"/>
    <x v="15"/>
    <m/>
    <s v="Germany|Lending interest rate (%)|2025"/>
  </r>
  <r>
    <x v="6"/>
    <s v="DEU"/>
    <x v="5"/>
    <s v="PA.NUS.FCRF"/>
    <x v="0"/>
    <n v="0.75430899010596097"/>
    <s v="Germany|Official exchange rate (LCU per US$, period average)|2010"/>
  </r>
  <r>
    <x v="6"/>
    <s v="DEU"/>
    <x v="5"/>
    <s v="PA.NUS.FCRF"/>
    <x v="1"/>
    <n v="0.71841389865331695"/>
    <s v="Germany|Official exchange rate (LCU per US$, period average)|2011"/>
  </r>
  <r>
    <x v="6"/>
    <s v="DEU"/>
    <x v="5"/>
    <s v="PA.NUS.FCRF"/>
    <x v="2"/>
    <n v="0.77833812041681205"/>
    <s v="Germany|Official exchange rate (LCU per US$, period average)|2012"/>
  </r>
  <r>
    <x v="6"/>
    <s v="DEU"/>
    <x v="5"/>
    <s v="PA.NUS.FCRF"/>
    <x v="3"/>
    <n v="0.75294512270199598"/>
    <s v="Germany|Official exchange rate (LCU per US$, period average)|2013"/>
  </r>
  <r>
    <x v="6"/>
    <s v="DEU"/>
    <x v="5"/>
    <s v="PA.NUS.FCRF"/>
    <x v="4"/>
    <n v="0.75272819693260296"/>
    <s v="Germany|Official exchange rate (LCU per US$, period average)|2014"/>
  </r>
  <r>
    <x v="6"/>
    <s v="DEU"/>
    <x v="5"/>
    <s v="PA.NUS.FCRF"/>
    <x v="5"/>
    <n v="0.90129642336709603"/>
    <s v="Germany|Official exchange rate (LCU per US$, period average)|2015"/>
  </r>
  <r>
    <x v="6"/>
    <s v="DEU"/>
    <x v="5"/>
    <s v="PA.NUS.FCRF"/>
    <x v="6"/>
    <n v="0.90342143625726301"/>
    <s v="Germany|Official exchange rate (LCU per US$, period average)|2016"/>
  </r>
  <r>
    <x v="6"/>
    <s v="DEU"/>
    <x v="5"/>
    <s v="PA.NUS.FCRF"/>
    <x v="7"/>
    <n v="0.88520550826937205"/>
    <s v="Germany|Official exchange rate (LCU per US$, period average)|2017"/>
  </r>
  <r>
    <x v="6"/>
    <s v="DEU"/>
    <x v="5"/>
    <s v="PA.NUS.FCRF"/>
    <x v="8"/>
    <n v="0.84677266710811105"/>
    <s v="Germany|Official exchange rate (LCU per US$, period average)|2018"/>
  </r>
  <r>
    <x v="6"/>
    <s v="DEU"/>
    <x v="5"/>
    <s v="PA.NUS.FCRF"/>
    <x v="9"/>
    <n v="0.89327625706740899"/>
    <s v="Germany|Official exchange rate (LCU per US$, period average)|2019"/>
  </r>
  <r>
    <x v="6"/>
    <s v="DEU"/>
    <x v="5"/>
    <s v="PA.NUS.FCRF"/>
    <x v="10"/>
    <n v="0.87550639698799804"/>
    <s v="Germany|Official exchange rate (LCU per US$, period average)|2020"/>
  </r>
  <r>
    <x v="6"/>
    <s v="DEU"/>
    <x v="5"/>
    <s v="PA.NUS.FCRF"/>
    <x v="11"/>
    <n v="0.84549413889045"/>
    <s v="Germany|Official exchange rate (LCU per US$, period average)|2021"/>
  </r>
  <r>
    <x v="6"/>
    <s v="DEU"/>
    <x v="5"/>
    <s v="PA.NUS.FCRF"/>
    <x v="12"/>
    <n v="0.94962375315694103"/>
    <s v="Germany|Official exchange rate (LCU per US$, period average)|2022"/>
  </r>
  <r>
    <x v="6"/>
    <s v="DEU"/>
    <x v="5"/>
    <s v="PA.NUS.FCRF"/>
    <x v="13"/>
    <n v="0.92483955847069799"/>
    <s v="Germany|Official exchange rate (LCU per US$, period average)|2023"/>
  </r>
  <r>
    <x v="6"/>
    <s v="DEU"/>
    <x v="5"/>
    <s v="PA.NUS.FCRF"/>
    <x v="14"/>
    <n v="0.92388954611760699"/>
    <s v="Germany|Official exchange rate (LCU per US$, period average)|2024"/>
  </r>
  <r>
    <x v="6"/>
    <s v="DEU"/>
    <x v="5"/>
    <s v="PA.NUS.FCRF"/>
    <x v="15"/>
    <n v="0.88496895841236001"/>
    <s v="Germany|Official exchange rate (LCU per US$, period average)|2025"/>
  </r>
  <r>
    <x v="6"/>
    <s v="DEU"/>
    <x v="6"/>
    <s v="NE.EXP.GNFS.ZS"/>
    <x v="0"/>
    <n v="39.49534654298234"/>
    <s v="Germany|Exports of goods and services (% of GDP)|2010"/>
  </r>
  <r>
    <x v="6"/>
    <s v="DEU"/>
    <x v="6"/>
    <s v="NE.EXP.GNFS.ZS"/>
    <x v="1"/>
    <n v="41.643628659111506"/>
    <s v="Germany|Exports of goods and services (% of GDP)|2011"/>
  </r>
  <r>
    <x v="6"/>
    <s v="DEU"/>
    <x v="6"/>
    <s v="NE.EXP.GNFS.ZS"/>
    <x v="2"/>
    <n v="42.685583435740618"/>
    <s v="Germany|Exports of goods and services (% of GDP)|2012"/>
  </r>
  <r>
    <x v="6"/>
    <s v="DEU"/>
    <x v="6"/>
    <s v="NE.EXP.GNFS.ZS"/>
    <x v="3"/>
    <n v="41.680283832435599"/>
    <s v="Germany|Exports of goods and services (% of GDP)|2013"/>
  </r>
  <r>
    <x v="6"/>
    <s v="DEU"/>
    <x v="6"/>
    <s v="NE.EXP.GNFS.ZS"/>
    <x v="4"/>
    <n v="41.693667552362726"/>
    <s v="Germany|Exports of goods and services (% of GDP)|2014"/>
  </r>
  <r>
    <x v="6"/>
    <s v="DEU"/>
    <x v="6"/>
    <s v="NE.EXP.GNFS.ZS"/>
    <x v="5"/>
    <n v="42.585397615183524"/>
    <s v="Germany|Exports of goods and services (% of GDP)|2015"/>
  </r>
  <r>
    <x v="6"/>
    <s v="DEU"/>
    <x v="6"/>
    <s v="NE.EXP.GNFS.ZS"/>
    <x v="6"/>
    <n v="41.635541951859189"/>
    <s v="Germany|Exports of goods and services (% of GDP)|2016"/>
  </r>
  <r>
    <x v="6"/>
    <s v="DEU"/>
    <x v="6"/>
    <s v="NE.EXP.GNFS.ZS"/>
    <x v="7"/>
    <n v="42.202957598159074"/>
    <s v="Germany|Exports of goods and services (% of GDP)|2017"/>
  </r>
  <r>
    <x v="6"/>
    <s v="DEU"/>
    <x v="6"/>
    <s v="NE.EXP.GNFS.ZS"/>
    <x v="8"/>
    <n v="42.496891407471686"/>
    <s v="Germany|Exports of goods and services (% of GDP)|2018"/>
  </r>
  <r>
    <x v="6"/>
    <s v="DEU"/>
    <x v="6"/>
    <s v="NE.EXP.GNFS.ZS"/>
    <x v="9"/>
    <n v="42.340244481635608"/>
    <s v="Germany|Exports of goods and services (% of GDP)|2019"/>
  </r>
  <r>
    <x v="6"/>
    <s v="DEU"/>
    <x v="6"/>
    <s v="NE.EXP.GNFS.ZS"/>
    <x v="10"/>
    <n v="39.119806880882827"/>
    <s v="Germany|Exports of goods and services (% of GDP)|2020"/>
  </r>
  <r>
    <x v="6"/>
    <s v="DEU"/>
    <x v="6"/>
    <s v="NE.EXP.GNFS.ZS"/>
    <x v="11"/>
    <n v="42.519837929142881"/>
    <s v="Germany|Exports of goods and services (% of GDP)|2021"/>
  </r>
  <r>
    <x v="6"/>
    <s v="DEU"/>
    <x v="6"/>
    <s v="NE.EXP.GNFS.ZS"/>
    <x v="12"/>
    <n v="45.628404342518529"/>
    <s v="Germany|Exports of goods and services (% of GDP)|2022"/>
  </r>
  <r>
    <x v="6"/>
    <s v="DEU"/>
    <x v="6"/>
    <s v="NE.EXP.GNFS.ZS"/>
    <x v="13"/>
    <n v="42.967262419684737"/>
    <s v="Germany|Exports of goods and services (% of GDP)|2023"/>
  </r>
  <r>
    <x v="6"/>
    <s v="DEU"/>
    <x v="6"/>
    <s v="NE.EXP.GNFS.ZS"/>
    <x v="14"/>
    <n v="41.434059372090822"/>
    <s v="Germany|Exports of goods and services (% of GDP)|2024"/>
  </r>
  <r>
    <x v="6"/>
    <s v="DEU"/>
    <x v="6"/>
    <s v="NE.EXP.GNFS.ZS"/>
    <x v="15"/>
    <n v="40.434773854507142"/>
    <s v="Germany|Exports of goods and services (% of GDP)|2025"/>
  </r>
  <r>
    <x v="6"/>
    <s v="DEU"/>
    <x v="7"/>
    <s v="NE.IMP.GNFS.ZS"/>
    <x v="0"/>
    <n v="34.389888577043962"/>
    <s v="Germany|Imports of goods and services (% of GDP)|2010"/>
  </r>
  <r>
    <x v="6"/>
    <s v="DEU"/>
    <x v="7"/>
    <s v="NE.IMP.GNFS.ZS"/>
    <x v="1"/>
    <n v="36.789374242330474"/>
    <s v="Germany|Imports of goods and services (% of GDP)|2011"/>
  </r>
  <r>
    <x v="6"/>
    <s v="DEU"/>
    <x v="7"/>
    <s v="NE.IMP.GNFS.ZS"/>
    <x v="2"/>
    <n v="36.646066131290908"/>
    <s v="Germany|Imports of goods and services (% of GDP)|2012"/>
  </r>
  <r>
    <x v="6"/>
    <s v="DEU"/>
    <x v="7"/>
    <s v="NE.IMP.GNFS.ZS"/>
    <x v="3"/>
    <n v="35.90574502525746"/>
    <s v="Germany|Imports of goods and services (% of GDP)|2013"/>
  </r>
  <r>
    <x v="6"/>
    <s v="DEU"/>
    <x v="7"/>
    <s v="NE.IMP.GNFS.ZS"/>
    <x v="4"/>
    <n v="35.154684081260662"/>
    <s v="Germany|Imports of goods and services (% of GDP)|2014"/>
  </r>
  <r>
    <x v="6"/>
    <s v="DEU"/>
    <x v="7"/>
    <s v="NE.IMP.GNFS.ZS"/>
    <x v="5"/>
    <n v="35.171183953508709"/>
    <s v="Germany|Imports of goods and services (% of GDP)|2015"/>
  </r>
  <r>
    <x v="6"/>
    <s v="DEU"/>
    <x v="7"/>
    <s v="NE.IMP.GNFS.ZS"/>
    <x v="6"/>
    <n v="34.370448264746287"/>
    <s v="Germany|Imports of goods and services (% of GDP)|2016"/>
  </r>
  <r>
    <x v="6"/>
    <s v="DEU"/>
    <x v="7"/>
    <s v="NE.IMP.GNFS.ZS"/>
    <x v="7"/>
    <n v="35.251881876085697"/>
    <s v="Germany|Imports of goods and services (% of GDP)|2017"/>
  </r>
  <r>
    <x v="6"/>
    <s v="DEU"/>
    <x v="7"/>
    <s v="NE.IMP.GNFS.ZS"/>
    <x v="8"/>
    <n v="36.628334638893662"/>
    <s v="Germany|Imports of goods and services (% of GDP)|2018"/>
  </r>
  <r>
    <x v="6"/>
    <s v="DEU"/>
    <x v="7"/>
    <s v="NE.IMP.GNFS.ZS"/>
    <x v="9"/>
    <n v="36.732998235932698"/>
    <s v="Germany|Imports of goods and services (% of GDP)|2019"/>
  </r>
  <r>
    <x v="6"/>
    <s v="DEU"/>
    <x v="7"/>
    <s v="NE.IMP.GNFS.ZS"/>
    <x v="10"/>
    <n v="33.813725831130895"/>
    <s v="Germany|Imports of goods and services (% of GDP)|2020"/>
  </r>
  <r>
    <x v="6"/>
    <s v="DEU"/>
    <x v="7"/>
    <s v="NE.IMP.GNFS.ZS"/>
    <x v="11"/>
    <n v="37.39969693184225"/>
    <s v="Germany|Imports of goods and services (% of GDP)|2021"/>
  </r>
  <r>
    <x v="6"/>
    <s v="DEU"/>
    <x v="7"/>
    <s v="NE.IMP.GNFS.ZS"/>
    <x v="12"/>
    <n v="43.157349870531583"/>
    <s v="Germany|Imports of goods and services (% of GDP)|2022"/>
  </r>
  <r>
    <x v="6"/>
    <s v="DEU"/>
    <x v="7"/>
    <s v="NE.IMP.GNFS.ZS"/>
    <x v="13"/>
    <n v="38.995285959078615"/>
    <s v="Germany|Imports of goods and services (% of GDP)|2023"/>
  </r>
  <r>
    <x v="6"/>
    <s v="DEU"/>
    <x v="7"/>
    <s v="NE.IMP.GNFS.ZS"/>
    <x v="14"/>
    <n v="37.656671217402753"/>
    <s v="Germany|Imports of goods and services (% of GDP)|2024"/>
  </r>
  <r>
    <x v="6"/>
    <s v="DEU"/>
    <x v="7"/>
    <s v="NE.IMP.GNFS.ZS"/>
    <x v="15"/>
    <n v="38.078037365405564"/>
    <s v="Germany|Imports of goods and services (% of GDP)|2025"/>
  </r>
  <r>
    <x v="6"/>
    <s v="DEU"/>
    <x v="8"/>
    <s v="BX.KLT.DINV.CD.WD"/>
    <x v="0"/>
    <n v="86037502102.164398"/>
    <s v="Germany|Foreign direct investment, net inflows (BoP, current US$)|2010"/>
  </r>
  <r>
    <x v="6"/>
    <s v="DEU"/>
    <x v="8"/>
    <s v="BX.KLT.DINV.CD.WD"/>
    <x v="1"/>
    <n v="97535403952.549301"/>
    <s v="Germany|Foreign direct investment, net inflows (BoP, current US$)|2011"/>
  </r>
  <r>
    <x v="6"/>
    <s v="DEU"/>
    <x v="8"/>
    <s v="BX.KLT.DINV.CD.WD"/>
    <x v="2"/>
    <n v="65443087632.2705"/>
    <s v="Germany|Foreign direct investment, net inflows (BoP, current US$)|2012"/>
  </r>
  <r>
    <x v="6"/>
    <s v="DEU"/>
    <x v="8"/>
    <s v="BX.KLT.DINV.CD.WD"/>
    <x v="3"/>
    <n v="67199694458.936798"/>
    <s v="Germany|Foreign direct investment, net inflows (BoP, current US$)|2013"/>
  </r>
  <r>
    <x v="6"/>
    <s v="DEU"/>
    <x v="8"/>
    <s v="BX.KLT.DINV.CD.WD"/>
    <x v="4"/>
    <n v="17356720097.615398"/>
    <s v="Germany|Foreign direct investment, net inflows (BoP, current US$)|2014"/>
  </r>
  <r>
    <x v="6"/>
    <s v="DEU"/>
    <x v="8"/>
    <s v="BX.KLT.DINV.CD.WD"/>
    <x v="5"/>
    <n v="62418993509.248901"/>
    <s v="Germany|Foreign direct investment, net inflows (BoP, current US$)|2015"/>
  </r>
  <r>
    <x v="6"/>
    <s v="DEU"/>
    <x v="8"/>
    <s v="BX.KLT.DINV.CD.WD"/>
    <x v="6"/>
    <n v="58132711370.780296"/>
    <s v="Germany|Foreign direct investment, net inflows (BoP, current US$)|2016"/>
  </r>
  <r>
    <x v="6"/>
    <s v="DEU"/>
    <x v="8"/>
    <s v="BX.KLT.DINV.CD.WD"/>
    <x v="7"/>
    <n v="108786501529.106"/>
    <s v="Germany|Foreign direct investment, net inflows (BoP, current US$)|2017"/>
  </r>
  <r>
    <x v="6"/>
    <s v="DEU"/>
    <x v="8"/>
    <s v="BX.KLT.DINV.CD.WD"/>
    <x v="8"/>
    <n v="162250938125.84201"/>
    <s v="Germany|Foreign direct investment, net inflows (BoP, current US$)|2018"/>
  </r>
  <r>
    <x v="6"/>
    <s v="DEU"/>
    <x v="8"/>
    <s v="BX.KLT.DINV.CD.WD"/>
    <x v="9"/>
    <n v="75463438450.891602"/>
    <s v="Germany|Foreign direct investment, net inflows (BoP, current US$)|2019"/>
  </r>
  <r>
    <x v="6"/>
    <s v="DEU"/>
    <x v="8"/>
    <s v="BX.KLT.DINV.CD.WD"/>
    <x v="10"/>
    <n v="176781024357.228"/>
    <s v="Germany|Foreign direct investment, net inflows (BoP, current US$)|2020"/>
  </r>
  <r>
    <x v="6"/>
    <s v="DEU"/>
    <x v="8"/>
    <s v="BX.KLT.DINV.CD.WD"/>
    <x v="11"/>
    <n v="127609826748.26801"/>
    <s v="Germany|Foreign direct investment, net inflows (BoP, current US$)|2021"/>
  </r>
  <r>
    <x v="6"/>
    <s v="DEU"/>
    <x v="8"/>
    <s v="BX.KLT.DINV.CD.WD"/>
    <x v="12"/>
    <n v="76571769735.781906"/>
    <s v="Germany|Foreign direct investment, net inflows (BoP, current US$)|2022"/>
  </r>
  <r>
    <x v="6"/>
    <s v="DEU"/>
    <x v="8"/>
    <s v="BX.KLT.DINV.CD.WD"/>
    <x v="13"/>
    <n v="90884107609.890198"/>
    <s v="Germany|Foreign direct investment, net inflows (BoP, current US$)|2023"/>
  </r>
  <r>
    <x v="6"/>
    <s v="DEU"/>
    <x v="8"/>
    <s v="BX.KLT.DINV.CD.WD"/>
    <x v="14"/>
    <n v="62637241923.072197"/>
    <s v="Germany|Foreign direct investment, net inflows (BoP, current US$)|2024"/>
  </r>
  <r>
    <x v="6"/>
    <s v="DEU"/>
    <x v="8"/>
    <s v="BX.KLT.DINV.CD.WD"/>
    <x v="15"/>
    <n v="95190853681.331299"/>
    <s v="Germany|Foreign direct investment, net inflows (BoP, current US$)|2025"/>
  </r>
  <r>
    <x v="6"/>
    <s v="DEU"/>
    <x v="9"/>
    <s v="SP.POP.TOTL"/>
    <x v="0"/>
    <n v="81776930"/>
    <s v="Germany|Population, total|2010"/>
  </r>
  <r>
    <x v="6"/>
    <s v="DEU"/>
    <x v="9"/>
    <s v="SP.POP.TOTL"/>
    <x v="1"/>
    <n v="80274983"/>
    <s v="Germany|Population, total|2011"/>
  </r>
  <r>
    <x v="6"/>
    <s v="DEU"/>
    <x v="9"/>
    <s v="SP.POP.TOTL"/>
    <x v="2"/>
    <n v="80425823"/>
    <s v="Germany|Population, total|2012"/>
  </r>
  <r>
    <x v="6"/>
    <s v="DEU"/>
    <x v="9"/>
    <s v="SP.POP.TOTL"/>
    <x v="3"/>
    <n v="80645605"/>
    <s v="Germany|Population, total|2013"/>
  </r>
  <r>
    <x v="6"/>
    <s v="DEU"/>
    <x v="9"/>
    <s v="SP.POP.TOTL"/>
    <x v="4"/>
    <n v="80982500"/>
    <s v="Germany|Population, total|2014"/>
  </r>
  <r>
    <x v="6"/>
    <s v="DEU"/>
    <x v="9"/>
    <s v="SP.POP.TOTL"/>
    <x v="5"/>
    <n v="81686611"/>
    <s v="Germany|Population, total|2015"/>
  </r>
  <r>
    <x v="6"/>
    <s v="DEU"/>
    <x v="9"/>
    <s v="SP.POP.TOTL"/>
    <x v="6"/>
    <n v="82348669"/>
    <s v="Germany|Population, total|2016"/>
  </r>
  <r>
    <x v="6"/>
    <s v="DEU"/>
    <x v="9"/>
    <s v="SP.POP.TOTL"/>
    <x v="7"/>
    <n v="82657002"/>
    <s v="Germany|Population, total|2017"/>
  </r>
  <r>
    <x v="6"/>
    <s v="DEU"/>
    <x v="9"/>
    <s v="SP.POP.TOTL"/>
    <x v="8"/>
    <n v="82905782"/>
    <s v="Germany|Population, total|2018"/>
  </r>
  <r>
    <x v="6"/>
    <s v="DEU"/>
    <x v="9"/>
    <s v="SP.POP.TOTL"/>
    <x v="9"/>
    <n v="83092962"/>
    <s v="Germany|Population, total|2019"/>
  </r>
  <r>
    <x v="6"/>
    <s v="DEU"/>
    <x v="9"/>
    <s v="SP.POP.TOTL"/>
    <x v="10"/>
    <n v="83160871"/>
    <s v="Germany|Population, total|2020"/>
  </r>
  <r>
    <x v="6"/>
    <s v="DEU"/>
    <x v="9"/>
    <s v="SP.POP.TOTL"/>
    <x v="11"/>
    <n v="83196078"/>
    <s v="Germany|Population, total|2021"/>
  </r>
  <r>
    <x v="6"/>
    <s v="DEU"/>
    <x v="9"/>
    <s v="SP.POP.TOTL"/>
    <x v="12"/>
    <n v="83177813"/>
    <s v="Germany|Population, total|2022"/>
  </r>
  <r>
    <x v="6"/>
    <s v="DEU"/>
    <x v="9"/>
    <s v="SP.POP.TOTL"/>
    <x v="13"/>
    <n v="83287273"/>
    <s v="Germany|Population, total|2023"/>
  </r>
  <r>
    <x v="6"/>
    <s v="DEU"/>
    <x v="9"/>
    <s v="SP.POP.TOTL"/>
    <x v="14"/>
    <n v="83516593"/>
    <s v="Germany|Population, total|2024"/>
  </r>
  <r>
    <x v="6"/>
    <s v="DEU"/>
    <x v="9"/>
    <s v="SP.POP.TOTL"/>
    <x v="15"/>
    <n v="83491249"/>
    <s v="Germany|Population, total|2025"/>
  </r>
  <r>
    <x v="7"/>
    <s v="GBR"/>
    <x v="0"/>
    <s v="NY.GDP.MKTP.CD"/>
    <x v="0"/>
    <n v="2496740681057.1392"/>
    <s v="United Kingdom|GDP (current US$)|2010"/>
  </r>
  <r>
    <x v="7"/>
    <s v="GBR"/>
    <x v="0"/>
    <s v="NY.GDP.MKTP.CD"/>
    <x v="1"/>
    <n v="2675590034128.6582"/>
    <s v="United Kingdom|GDP (current US$)|2011"/>
  </r>
  <r>
    <x v="7"/>
    <s v="GBR"/>
    <x v="0"/>
    <s v="NY.GDP.MKTP.CD"/>
    <x v="2"/>
    <n v="2719715961539.8311"/>
    <s v="United Kingdom|GDP (current US$)|2012"/>
  </r>
  <r>
    <x v="7"/>
    <s v="GBR"/>
    <x v="0"/>
    <s v="NY.GDP.MKTP.CD"/>
    <x v="3"/>
    <n v="2796908333283.3892"/>
    <s v="United Kingdom|GDP (current US$)|2013"/>
  </r>
  <r>
    <x v="7"/>
    <s v="GBR"/>
    <x v="0"/>
    <s v="NY.GDP.MKTP.CD"/>
    <x v="4"/>
    <n v="3085362169410.2915"/>
    <s v="United Kingdom|GDP (current US$)|2014"/>
  </r>
  <r>
    <x v="7"/>
    <s v="GBR"/>
    <x v="0"/>
    <s v="NY.GDP.MKTP.CD"/>
    <x v="5"/>
    <n v="2945579890258.4585"/>
    <s v="United Kingdom|GDP (current US$)|2015"/>
  </r>
  <r>
    <x v="7"/>
    <s v="GBR"/>
    <x v="0"/>
    <s v="NY.GDP.MKTP.CD"/>
    <x v="6"/>
    <n v="2706807606538.7305"/>
    <s v="United Kingdom|GDP (current US$)|2016"/>
  </r>
  <r>
    <x v="7"/>
    <s v="GBR"/>
    <x v="0"/>
    <s v="NY.GDP.MKTP.CD"/>
    <x v="7"/>
    <n v="2699118387873.0957"/>
    <s v="United Kingdom|GDP (current US$)|2017"/>
  </r>
  <r>
    <x v="7"/>
    <s v="GBR"/>
    <x v="0"/>
    <s v="NY.GDP.MKTP.CD"/>
    <x v="8"/>
    <n v="2897028009916.0503"/>
    <s v="United Kingdom|GDP (current US$)|2018"/>
  </r>
  <r>
    <x v="7"/>
    <s v="GBR"/>
    <x v="0"/>
    <s v="NY.GDP.MKTP.CD"/>
    <x v="9"/>
    <n v="2875710080015.3003"/>
    <s v="United Kingdom|GDP (current US$)|2019"/>
  </r>
  <r>
    <x v="7"/>
    <s v="GBR"/>
    <x v="0"/>
    <s v="NY.GDP.MKTP.CD"/>
    <x v="10"/>
    <n v="2724001478304.5908"/>
    <s v="United Kingdom|GDP (current US$)|2020"/>
  </r>
  <r>
    <x v="7"/>
    <s v="GBR"/>
    <x v="0"/>
    <s v="NY.GDP.MKTP.CD"/>
    <x v="11"/>
    <n v="3194559188925.9272"/>
    <s v="United Kingdom|GDP (current US$)|2021"/>
  </r>
  <r>
    <x v="7"/>
    <s v="GBR"/>
    <x v="0"/>
    <s v="NY.GDP.MKTP.CD"/>
    <x v="12"/>
    <n v="3181244350465.4146"/>
    <s v="United Kingdom|GDP (current US$)|2022"/>
  </r>
  <r>
    <x v="7"/>
    <s v="GBR"/>
    <x v="0"/>
    <s v="NY.GDP.MKTP.CD"/>
    <x v="13"/>
    <n v="3420796653789.0806"/>
    <s v="United Kingdom|GDP (current US$)|2023"/>
  </r>
  <r>
    <x v="7"/>
    <s v="GBR"/>
    <x v="0"/>
    <s v="NY.GDP.MKTP.CD"/>
    <x v="14"/>
    <n v="3695539513534.1543"/>
    <s v="United Kingdom|GDP (current US$)|2024"/>
  </r>
  <r>
    <x v="7"/>
    <s v="GBR"/>
    <x v="0"/>
    <s v="NY.GDP.MKTP.CD"/>
    <x v="15"/>
    <n v="4002587541846.0146"/>
    <s v="United Kingdom|GDP (current US$)|2025"/>
  </r>
  <r>
    <x v="7"/>
    <s v="GBR"/>
    <x v="1"/>
    <s v="NY.GDP.MKTP.KD.ZG"/>
    <x v="0"/>
    <n v="2.2605446093158577"/>
    <s v="United Kingdom|GDP growth (annual %)|2010"/>
  </r>
  <r>
    <x v="7"/>
    <s v="GBR"/>
    <x v="1"/>
    <s v="NY.GDP.MKTP.KD.ZG"/>
    <x v="1"/>
    <n v="0.85143773902032649"/>
    <s v="United Kingdom|GDP growth (annual %)|2011"/>
  </r>
  <r>
    <x v="7"/>
    <s v="GBR"/>
    <x v="1"/>
    <s v="NY.GDP.MKTP.KD.ZG"/>
    <x v="2"/>
    <n v="1.5282603472185201"/>
    <s v="United Kingdom|GDP growth (annual %)|2012"/>
  </r>
  <r>
    <x v="7"/>
    <s v="GBR"/>
    <x v="1"/>
    <s v="NY.GDP.MKTP.KD.ZG"/>
    <x v="3"/>
    <n v="1.7184696130846362"/>
    <s v="United Kingdom|GDP growth (annual %)|2013"/>
  </r>
  <r>
    <x v="7"/>
    <s v="GBR"/>
    <x v="1"/>
    <s v="NY.GDP.MKTP.KD.ZG"/>
    <x v="4"/>
    <n v="3.1601735146815173"/>
    <s v="United Kingdom|GDP growth (annual %)|2014"/>
  </r>
  <r>
    <x v="7"/>
    <s v="GBR"/>
    <x v="1"/>
    <s v="NY.GDP.MKTP.KD.ZG"/>
    <x v="5"/>
    <n v="2.1404056003337075"/>
    <s v="United Kingdom|GDP growth (annual %)|2015"/>
  </r>
  <r>
    <x v="7"/>
    <s v="GBR"/>
    <x v="1"/>
    <s v="NY.GDP.MKTP.KD.ZG"/>
    <x v="6"/>
    <n v="2.2065202063535736"/>
    <s v="United Kingdom|GDP growth (annual %)|2016"/>
  </r>
  <r>
    <x v="7"/>
    <s v="GBR"/>
    <x v="1"/>
    <s v="NY.GDP.MKTP.KD.ZG"/>
    <x v="7"/>
    <n v="3.0232221984033885"/>
    <s v="United Kingdom|GDP growth (annual %)|2017"/>
  </r>
  <r>
    <x v="7"/>
    <s v="GBR"/>
    <x v="1"/>
    <s v="NY.GDP.MKTP.KD.ZG"/>
    <x v="8"/>
    <n v="1.5513309507878574"/>
    <s v="United Kingdom|GDP growth (annual %)|2018"/>
  </r>
  <r>
    <x v="7"/>
    <s v="GBR"/>
    <x v="1"/>
    <s v="NY.GDP.MKTP.KD.ZG"/>
    <x v="9"/>
    <n v="1.2562989976082406"/>
    <s v="United Kingdom|GDP growth (annual %)|2019"/>
  </r>
  <r>
    <x v="7"/>
    <s v="GBR"/>
    <x v="1"/>
    <s v="NY.GDP.MKTP.KD.ZG"/>
    <x v="10"/>
    <n v="-10.047896637361958"/>
    <s v="United Kingdom|GDP growth (annual %)|2020"/>
  </r>
  <r>
    <x v="7"/>
    <s v="GBR"/>
    <x v="1"/>
    <s v="NY.GDP.MKTP.KD.ZG"/>
    <x v="11"/>
    <n v="8.5431118453254982"/>
    <s v="United Kingdom|GDP growth (annual %)|2021"/>
  </r>
  <r>
    <x v="7"/>
    <s v="GBR"/>
    <x v="1"/>
    <s v="NY.GDP.MKTP.KD.ZG"/>
    <x v="12"/>
    <n v="5.1497038852299255"/>
    <s v="United Kingdom|GDP growth (annual %)|2022"/>
  </r>
  <r>
    <x v="7"/>
    <s v="GBR"/>
    <x v="1"/>
    <s v="NY.GDP.MKTP.KD.ZG"/>
    <x v="13"/>
    <n v="0.27165004835525508"/>
    <s v="United Kingdom|GDP growth (annual %)|2023"/>
  </r>
  <r>
    <x v="7"/>
    <s v="GBR"/>
    <x v="1"/>
    <s v="NY.GDP.MKTP.KD.ZG"/>
    <x v="14"/>
    <n v="1.0802771685878128"/>
    <s v="United Kingdom|GDP growth (annual %)|2024"/>
  </r>
  <r>
    <x v="7"/>
    <s v="GBR"/>
    <x v="1"/>
    <s v="NY.GDP.MKTP.KD.ZG"/>
    <x v="15"/>
    <n v="1.3884420785872607"/>
    <s v="United Kingdom|GDP growth (annual %)|2025"/>
  </r>
  <r>
    <x v="7"/>
    <s v="GBR"/>
    <x v="2"/>
    <s v="FP.CPI.TOTL.ZG"/>
    <x v="0"/>
    <n v="2.492654724670655"/>
    <s v="United Kingdom|Inflation, consumer prices (annual %)|2010"/>
  </r>
  <r>
    <x v="7"/>
    <s v="GBR"/>
    <x v="2"/>
    <s v="FP.CPI.TOTL.ZG"/>
    <x v="1"/>
    <n v="3.8561124468282002"/>
    <s v="United Kingdom|Inflation, consumer prices (annual %)|2011"/>
  </r>
  <r>
    <x v="7"/>
    <s v="GBR"/>
    <x v="2"/>
    <s v="FP.CPI.TOTL.ZG"/>
    <x v="2"/>
    <n v="2.573234796545302"/>
    <s v="United Kingdom|Inflation, consumer prices (annual %)|2012"/>
  </r>
  <r>
    <x v="7"/>
    <s v="GBR"/>
    <x v="2"/>
    <s v="FP.CPI.TOTL.ZG"/>
    <x v="3"/>
    <n v="2.2916666666665941"/>
    <s v="United Kingdom|Inflation, consumer prices (annual %)|2013"/>
  </r>
  <r>
    <x v="7"/>
    <s v="GBR"/>
    <x v="2"/>
    <s v="FP.CPI.TOTL.ZG"/>
    <x v="4"/>
    <n v="1.4511201629327919"/>
    <s v="United Kingdom|Inflation, consumer prices (annual %)|2014"/>
  </r>
  <r>
    <x v="7"/>
    <s v="GBR"/>
    <x v="2"/>
    <s v="FP.CPI.TOTL.ZG"/>
    <x v="5"/>
    <n v="0.36804684232536039"/>
    <s v="United Kingdom|Inflation, consumer prices (annual %)|2015"/>
  </r>
  <r>
    <x v="7"/>
    <s v="GBR"/>
    <x v="2"/>
    <s v="FP.CPI.TOTL.ZG"/>
    <x v="6"/>
    <n v="1.0084173681140951"/>
    <s v="United Kingdom|Inflation, consumer prices (annual %)|2016"/>
  </r>
  <r>
    <x v="7"/>
    <s v="GBR"/>
    <x v="2"/>
    <s v="FP.CPI.TOTL.ZG"/>
    <x v="7"/>
    <n v="2.5577557755774731"/>
    <s v="United Kingdom|Inflation, consumer prices (annual %)|2017"/>
  </r>
  <r>
    <x v="7"/>
    <s v="GBR"/>
    <x v="2"/>
    <s v="FP.CPI.TOTL.ZG"/>
    <x v="8"/>
    <n v="2.292839903459376"/>
    <s v="United Kingdom|Inflation, consumer prices (annual %)|2018"/>
  </r>
  <r>
    <x v="7"/>
    <s v="GBR"/>
    <x v="2"/>
    <s v="FP.CPI.TOTL.ZG"/>
    <x v="9"/>
    <n v="1.738104600865128"/>
    <s v="United Kingdom|Inflation, consumer prices (annual %)|2019"/>
  </r>
  <r>
    <x v="7"/>
    <s v="GBR"/>
    <x v="2"/>
    <s v="FP.CPI.TOTL.ZG"/>
    <x v="10"/>
    <n v="0.98948670377249126"/>
    <s v="United Kingdom|Inflation, consumer prices (annual %)|2020"/>
  </r>
  <r>
    <x v="7"/>
    <s v="GBR"/>
    <x v="2"/>
    <s v="FP.CPI.TOTL.ZG"/>
    <x v="11"/>
    <n v="2.51837109614213"/>
    <s v="United Kingdom|Inflation, consumer prices (annual %)|2021"/>
  </r>
  <r>
    <x v="7"/>
    <s v="GBR"/>
    <x v="2"/>
    <s v="FP.CPI.TOTL.ZG"/>
    <x v="12"/>
    <n v="7.9220488314790227"/>
    <s v="United Kingdom|Inflation, consumer prices (annual %)|2022"/>
  </r>
  <r>
    <x v="7"/>
    <s v="GBR"/>
    <x v="2"/>
    <s v="FP.CPI.TOTL.ZG"/>
    <x v="13"/>
    <n v="6.7939670679396258"/>
    <s v="United Kingdom|Inflation, consumer prices (annual %)|2023"/>
  </r>
  <r>
    <x v="7"/>
    <s v="GBR"/>
    <x v="2"/>
    <s v="FP.CPI.TOTL.ZG"/>
    <x v="14"/>
    <n v="3.2715729463592012"/>
    <s v="United Kingdom|Inflation, consumer prices (annual %)|2024"/>
  </r>
  <r>
    <x v="7"/>
    <s v="GBR"/>
    <x v="2"/>
    <s v="FP.CPI.TOTL.ZG"/>
    <x v="15"/>
    <n v="3.883068816259998"/>
    <s v="United Kingdom|Inflation, consumer prices (annual %)|2025"/>
  </r>
  <r>
    <x v="7"/>
    <s v="GBR"/>
    <x v="3"/>
    <s v="SL.UEM.TOTL.ZS"/>
    <x v="0"/>
    <n v="7.9729999999999999"/>
    <s v="United Kingdom|Unemployment, total (% of total labor force) (modeled ILO estimate)|2010"/>
  </r>
  <r>
    <x v="7"/>
    <s v="GBR"/>
    <x v="3"/>
    <s v="SL.UEM.TOTL.ZS"/>
    <x v="1"/>
    <n v="8.1950000000000003"/>
    <s v="United Kingdom|Unemployment, total (% of total labor force) (modeled ILO estimate)|2011"/>
  </r>
  <r>
    <x v="7"/>
    <s v="GBR"/>
    <x v="3"/>
    <s v="SL.UEM.TOTL.ZS"/>
    <x v="2"/>
    <n v="8.2789999999999999"/>
    <s v="United Kingdom|Unemployment, total (% of total labor force) (modeled ILO estimate)|2012"/>
  </r>
  <r>
    <x v="7"/>
    <s v="GBR"/>
    <x v="3"/>
    <s v="SL.UEM.TOTL.ZS"/>
    <x v="3"/>
    <n v="7.7519999999999998"/>
    <s v="United Kingdom|Unemployment, total (% of total labor force) (modeled ILO estimate)|2013"/>
  </r>
  <r>
    <x v="7"/>
    <s v="GBR"/>
    <x v="3"/>
    <s v="SL.UEM.TOTL.ZS"/>
    <x v="4"/>
    <n v="6.3979999999999997"/>
    <s v="United Kingdom|Unemployment, total (% of total labor force) (modeled ILO estimate)|2014"/>
  </r>
  <r>
    <x v="7"/>
    <s v="GBR"/>
    <x v="3"/>
    <s v="SL.UEM.TOTL.ZS"/>
    <x v="5"/>
    <n v="5.5519999999999996"/>
    <s v="United Kingdom|Unemployment, total (% of total labor force) (modeled ILO estimate)|2015"/>
  </r>
  <r>
    <x v="7"/>
    <s v="GBR"/>
    <x v="3"/>
    <s v="SL.UEM.TOTL.ZS"/>
    <x v="6"/>
    <n v="4.9089999999999998"/>
    <s v="United Kingdom|Unemployment, total (% of total labor force) (modeled ILO estimate)|2016"/>
  </r>
  <r>
    <x v="7"/>
    <s v="GBR"/>
    <x v="3"/>
    <s v="SL.UEM.TOTL.ZS"/>
    <x v="7"/>
    <n v="4.5010000000000003"/>
    <s v="United Kingdom|Unemployment, total (% of total labor force) (modeled ILO estimate)|2017"/>
  </r>
  <r>
    <x v="7"/>
    <s v="GBR"/>
    <x v="3"/>
    <s v="SL.UEM.TOTL.ZS"/>
    <x v="8"/>
    <n v="4.1449999999999996"/>
    <s v="United Kingdom|Unemployment, total (% of total labor force) (modeled ILO estimate)|2018"/>
  </r>
  <r>
    <x v="7"/>
    <s v="GBR"/>
    <x v="3"/>
    <s v="SL.UEM.TOTL.ZS"/>
    <x v="9"/>
    <n v="3.657"/>
    <s v="United Kingdom|Unemployment, total (% of total labor force) (modeled ILO estimate)|2019"/>
  </r>
  <r>
    <x v="7"/>
    <s v="GBR"/>
    <x v="3"/>
    <s v="SL.UEM.TOTL.ZS"/>
    <x v="10"/>
    <n v="4.4720000000000004"/>
    <s v="United Kingdom|Unemployment, total (% of total labor force) (modeled ILO estimate)|2020"/>
  </r>
  <r>
    <x v="7"/>
    <s v="GBR"/>
    <x v="3"/>
    <s v="SL.UEM.TOTL.ZS"/>
    <x v="11"/>
    <n v="4.8639999999999999"/>
    <s v="United Kingdom|Unemployment, total (% of total labor force) (modeled ILO estimate)|2021"/>
  </r>
  <r>
    <x v="7"/>
    <s v="GBR"/>
    <x v="3"/>
    <s v="SL.UEM.TOTL.ZS"/>
    <x v="12"/>
    <n v="3.7679999999999998"/>
    <s v="United Kingdom|Unemployment, total (% of total labor force) (modeled ILO estimate)|2022"/>
  </r>
  <r>
    <x v="7"/>
    <s v="GBR"/>
    <x v="3"/>
    <s v="SL.UEM.TOTL.ZS"/>
    <x v="13"/>
    <n v="4.0250000000000004"/>
    <s v="United Kingdom|Unemployment, total (% of total labor force) (modeled ILO estimate)|2023"/>
  </r>
  <r>
    <x v="7"/>
    <s v="GBR"/>
    <x v="3"/>
    <s v="SL.UEM.TOTL.ZS"/>
    <x v="14"/>
    <n v="4.3609999999999998"/>
    <s v="United Kingdom|Unemployment, total (% of total labor force) (modeled ILO estimate)|2024"/>
  </r>
  <r>
    <x v="7"/>
    <s v="GBR"/>
    <x v="3"/>
    <s v="SL.UEM.TOTL.ZS"/>
    <x v="15"/>
    <n v="4.7460000000000004"/>
    <s v="United Kingdom|Unemployment, total (% of total labor force) (modeled ILO estimate)|2025"/>
  </r>
  <r>
    <x v="7"/>
    <s v="GBR"/>
    <x v="4"/>
    <s v="FR.INR.LEND"/>
    <x v="0"/>
    <n v="0.5"/>
    <s v="United Kingdom|Lending interest rate (%)|2010"/>
  </r>
  <r>
    <x v="7"/>
    <s v="GBR"/>
    <x v="4"/>
    <s v="FR.INR.LEND"/>
    <x v="1"/>
    <n v="0.5"/>
    <s v="United Kingdom|Lending interest rate (%)|2011"/>
  </r>
  <r>
    <x v="7"/>
    <s v="GBR"/>
    <x v="4"/>
    <s v="FR.INR.LEND"/>
    <x v="2"/>
    <n v="0.5"/>
    <s v="United Kingdom|Lending interest rate (%)|2012"/>
  </r>
  <r>
    <x v="7"/>
    <s v="GBR"/>
    <x v="4"/>
    <s v="FR.INR.LEND"/>
    <x v="3"/>
    <n v="0.5"/>
    <s v="United Kingdom|Lending interest rate (%)|2013"/>
  </r>
  <r>
    <x v="7"/>
    <s v="GBR"/>
    <x v="4"/>
    <s v="FR.INR.LEND"/>
    <x v="4"/>
    <n v="0.5"/>
    <s v="United Kingdom|Lending interest rate (%)|2014"/>
  </r>
  <r>
    <x v="7"/>
    <s v="GBR"/>
    <x v="4"/>
    <s v="FR.INR.LEND"/>
    <x v="5"/>
    <m/>
    <s v="United Kingdom|Lending interest rate (%)|2015"/>
  </r>
  <r>
    <x v="7"/>
    <s v="GBR"/>
    <x v="4"/>
    <s v="FR.INR.LEND"/>
    <x v="6"/>
    <m/>
    <s v="United Kingdom|Lending interest rate (%)|2016"/>
  </r>
  <r>
    <x v="7"/>
    <s v="GBR"/>
    <x v="4"/>
    <s v="FR.INR.LEND"/>
    <x v="7"/>
    <m/>
    <s v="United Kingdom|Lending interest rate (%)|2017"/>
  </r>
  <r>
    <x v="7"/>
    <s v="GBR"/>
    <x v="4"/>
    <s v="FR.INR.LEND"/>
    <x v="8"/>
    <m/>
    <s v="United Kingdom|Lending interest rate (%)|2018"/>
  </r>
  <r>
    <x v="7"/>
    <s v="GBR"/>
    <x v="4"/>
    <s v="FR.INR.LEND"/>
    <x v="9"/>
    <m/>
    <s v="United Kingdom|Lending interest rate (%)|2019"/>
  </r>
  <r>
    <x v="7"/>
    <s v="GBR"/>
    <x v="4"/>
    <s v="FR.INR.LEND"/>
    <x v="10"/>
    <m/>
    <s v="United Kingdom|Lending interest rate (%)|2020"/>
  </r>
  <r>
    <x v="7"/>
    <s v="GBR"/>
    <x v="4"/>
    <s v="FR.INR.LEND"/>
    <x v="11"/>
    <m/>
    <s v="United Kingdom|Lending interest rate (%)|2021"/>
  </r>
  <r>
    <x v="7"/>
    <s v="GBR"/>
    <x v="4"/>
    <s v="FR.INR.LEND"/>
    <x v="12"/>
    <m/>
    <s v="United Kingdom|Lending interest rate (%)|2022"/>
  </r>
  <r>
    <x v="7"/>
    <s v="GBR"/>
    <x v="4"/>
    <s v="FR.INR.LEND"/>
    <x v="13"/>
    <m/>
    <s v="United Kingdom|Lending interest rate (%)|2023"/>
  </r>
  <r>
    <x v="7"/>
    <s v="GBR"/>
    <x v="4"/>
    <s v="FR.INR.LEND"/>
    <x v="14"/>
    <m/>
    <s v="United Kingdom|Lending interest rate (%)|2024"/>
  </r>
  <r>
    <x v="7"/>
    <s v="GBR"/>
    <x v="4"/>
    <s v="FR.INR.LEND"/>
    <x v="15"/>
    <m/>
    <s v="United Kingdom|Lending interest rate (%)|2025"/>
  </r>
  <r>
    <x v="7"/>
    <s v="GBR"/>
    <x v="5"/>
    <s v="PA.NUS.FCRF"/>
    <x v="0"/>
    <n v="0.64717934556016476"/>
    <s v="United Kingdom|Official exchange rate (LCU per US$, period average)|2010"/>
  </r>
  <r>
    <x v="7"/>
    <s v="GBR"/>
    <x v="5"/>
    <s v="PA.NUS.FCRF"/>
    <x v="1"/>
    <n v="0.62414083574049484"/>
    <s v="United Kingdom|Official exchange rate (LCU per US$, period average)|2011"/>
  </r>
  <r>
    <x v="7"/>
    <s v="GBR"/>
    <x v="5"/>
    <s v="PA.NUS.FCRF"/>
    <x v="2"/>
    <n v="0.63304698885732724"/>
    <s v="United Kingdom|Official exchange rate (LCU per US$, period average)|2012"/>
  </r>
  <r>
    <x v="7"/>
    <s v="GBR"/>
    <x v="5"/>
    <s v="PA.NUS.FCRF"/>
    <x v="3"/>
    <n v="0.63966057761347683"/>
    <s v="United Kingdom|Official exchange rate (LCU per US$, period average)|2013"/>
  </r>
  <r>
    <x v="7"/>
    <s v="GBR"/>
    <x v="5"/>
    <s v="PA.NUS.FCRF"/>
    <x v="4"/>
    <n v="0.60772962687825505"/>
    <s v="United Kingdom|Official exchange rate (LCU per US$, period average)|2014"/>
  </r>
  <r>
    <x v="7"/>
    <s v="GBR"/>
    <x v="5"/>
    <s v="PA.NUS.FCRF"/>
    <x v="5"/>
    <n v="0.65454547893142601"/>
    <s v="United Kingdom|Official exchange rate (LCU per US$, period average)|2015"/>
  </r>
  <r>
    <x v="7"/>
    <s v="GBR"/>
    <x v="5"/>
    <s v="PA.NUS.FCRF"/>
    <x v="6"/>
    <n v="0.74063446369708419"/>
    <s v="United Kingdom|Official exchange rate (LCU per US$, period average)|2016"/>
  </r>
  <r>
    <x v="7"/>
    <s v="GBR"/>
    <x v="5"/>
    <s v="PA.NUS.FCRF"/>
    <x v="7"/>
    <n v="0.77697668234412254"/>
    <s v="United Kingdom|Official exchange rate (LCU per US$, period average)|2017"/>
  </r>
  <r>
    <x v="7"/>
    <s v="GBR"/>
    <x v="5"/>
    <s v="PA.NUS.FCRF"/>
    <x v="8"/>
    <n v="0.74953154025984681"/>
    <s v="United Kingdom|Official exchange rate (LCU per US$, period average)|2018"/>
  </r>
  <r>
    <x v="7"/>
    <s v="GBR"/>
    <x v="5"/>
    <s v="PA.NUS.FCRF"/>
    <x v="9"/>
    <n v="0.78344511001192896"/>
    <s v="United Kingdom|Official exchange rate (LCU per US$, period average)|2019"/>
  </r>
  <r>
    <x v="7"/>
    <s v="GBR"/>
    <x v="5"/>
    <s v="PA.NUS.FCRF"/>
    <x v="10"/>
    <n v="0.77999957669715325"/>
    <s v="United Kingdom|Official exchange rate (LCU per US$, period average)|2020"/>
  </r>
  <r>
    <x v="7"/>
    <s v="GBR"/>
    <x v="5"/>
    <s v="PA.NUS.FCRF"/>
    <x v="11"/>
    <n v="0.7270649446883225"/>
    <s v="United Kingdom|Official exchange rate (LCU per US$, period average)|2021"/>
  </r>
  <r>
    <x v="7"/>
    <s v="GBR"/>
    <x v="5"/>
    <s v="PA.NUS.FCRF"/>
    <x v="12"/>
    <n v="0.81130171582777322"/>
    <s v="United Kingdom|Official exchange rate (LCU per US$, period average)|2022"/>
  </r>
  <r>
    <x v="7"/>
    <s v="GBR"/>
    <x v="5"/>
    <s v="PA.NUS.FCRF"/>
    <x v="13"/>
    <n v="0.8045389067343528"/>
    <s v="United Kingdom|Official exchange rate (LCU per US$, period average)|2023"/>
  </r>
  <r>
    <x v="7"/>
    <s v="GBR"/>
    <x v="5"/>
    <s v="PA.NUS.FCRF"/>
    <x v="14"/>
    <n v="0.78241458098626182"/>
    <s v="United Kingdom|Official exchange rate (LCU per US$, period average)|2024"/>
  </r>
  <r>
    <x v="7"/>
    <s v="GBR"/>
    <x v="5"/>
    <s v="PA.NUS.FCRF"/>
    <x v="15"/>
    <n v="0.75947395733860779"/>
    <s v="United Kingdom|Official exchange rate (LCU per US$, period average)|2025"/>
  </r>
  <r>
    <x v="7"/>
    <s v="GBR"/>
    <x v="6"/>
    <s v="NE.EXP.GNFS.ZS"/>
    <x v="0"/>
    <n v="28.746366438735542"/>
    <s v="United Kingdom|Exports of goods and services (% of GDP)|2010"/>
  </r>
  <r>
    <x v="7"/>
    <s v="GBR"/>
    <x v="6"/>
    <s v="NE.EXP.GNFS.ZS"/>
    <x v="1"/>
    <n v="31.264921898625403"/>
    <s v="United Kingdom|Exports of goods and services (% of GDP)|2011"/>
  </r>
  <r>
    <x v="7"/>
    <s v="GBR"/>
    <x v="6"/>
    <s v="NE.EXP.GNFS.ZS"/>
    <x v="2"/>
    <n v="30.499538830045513"/>
    <s v="United Kingdom|Exports of goods and services (% of GDP)|2012"/>
  </r>
  <r>
    <x v="7"/>
    <s v="GBR"/>
    <x v="6"/>
    <s v="NE.EXP.GNFS.ZS"/>
    <x v="3"/>
    <n v="30.207616015453819"/>
    <s v="United Kingdom|Exports of goods and services (% of GDP)|2013"/>
  </r>
  <r>
    <x v="7"/>
    <s v="GBR"/>
    <x v="6"/>
    <s v="NE.EXP.GNFS.ZS"/>
    <x v="4"/>
    <n v="28.532009006616299"/>
    <s v="United Kingdom|Exports of goods and services (% of GDP)|2014"/>
  </r>
  <r>
    <x v="7"/>
    <s v="GBR"/>
    <x v="6"/>
    <s v="NE.EXP.GNFS.ZS"/>
    <x v="5"/>
    <n v="27.879073617646327"/>
    <s v="United Kingdom|Exports of goods and services (% of GDP)|2015"/>
  </r>
  <r>
    <x v="7"/>
    <s v="GBR"/>
    <x v="6"/>
    <s v="NE.EXP.GNFS.ZS"/>
    <x v="6"/>
    <n v="29.061556150252777"/>
    <s v="United Kingdom|Exports of goods and services (% of GDP)|2016"/>
  </r>
  <r>
    <x v="7"/>
    <s v="GBR"/>
    <x v="6"/>
    <s v="NE.EXP.GNFS.ZS"/>
    <x v="7"/>
    <n v="30.973831096564886"/>
    <s v="United Kingdom|Exports of goods and services (% of GDP)|2017"/>
  </r>
  <r>
    <x v="7"/>
    <s v="GBR"/>
    <x v="6"/>
    <s v="NE.EXP.GNFS.ZS"/>
    <x v="8"/>
    <n v="31.854534000687984"/>
    <s v="United Kingdom|Exports of goods and services (% of GDP)|2018"/>
  </r>
  <r>
    <x v="7"/>
    <s v="GBR"/>
    <x v="6"/>
    <s v="NE.EXP.GNFS.ZS"/>
    <x v="9"/>
    <n v="31.902860280315547"/>
    <s v="United Kingdom|Exports of goods and services (% of GDP)|2019"/>
  </r>
  <r>
    <x v="7"/>
    <s v="GBR"/>
    <x v="6"/>
    <s v="NE.EXP.GNFS.ZS"/>
    <x v="10"/>
    <n v="29.948652057682896"/>
    <s v="United Kingdom|Exports of goods and services (% of GDP)|2020"/>
  </r>
  <r>
    <x v="7"/>
    <s v="GBR"/>
    <x v="6"/>
    <s v="NE.EXP.GNFS.ZS"/>
    <x v="11"/>
    <n v="29.289407108770494"/>
    <s v="United Kingdom|Exports of goods and services (% of GDP)|2021"/>
  </r>
  <r>
    <x v="7"/>
    <s v="GBR"/>
    <x v="6"/>
    <s v="NE.EXP.GNFS.ZS"/>
    <x v="12"/>
    <n v="34.061928383706928"/>
    <s v="United Kingdom|Exports of goods and services (% of GDP)|2022"/>
  </r>
  <r>
    <x v="7"/>
    <s v="GBR"/>
    <x v="6"/>
    <s v="NE.EXP.GNFS.ZS"/>
    <x v="13"/>
    <n v="31.912269762993773"/>
    <s v="United Kingdom|Exports of goods and services (% of GDP)|2023"/>
  </r>
  <r>
    <x v="7"/>
    <s v="GBR"/>
    <x v="6"/>
    <s v="NE.EXP.GNFS.ZS"/>
    <x v="14"/>
    <n v="31.056143573937451"/>
    <s v="United Kingdom|Exports of goods and services (% of GDP)|2024"/>
  </r>
  <r>
    <x v="7"/>
    <s v="GBR"/>
    <x v="6"/>
    <s v="NE.EXP.GNFS.ZS"/>
    <x v="15"/>
    <n v="30.596958216181598"/>
    <s v="United Kingdom|Exports of goods and services (% of GDP)|2025"/>
  </r>
  <r>
    <x v="7"/>
    <s v="GBR"/>
    <x v="7"/>
    <s v="NE.IMP.GNFS.ZS"/>
    <x v="0"/>
    <n v="30.304813784046551"/>
    <s v="United Kingdom|Imports of goods and services (% of GDP)|2010"/>
  </r>
  <r>
    <x v="7"/>
    <s v="GBR"/>
    <x v="7"/>
    <s v="NE.IMP.GNFS.ZS"/>
    <x v="1"/>
    <n v="32.059139672264649"/>
    <s v="United Kingdom|Imports of goods and services (% of GDP)|2011"/>
  </r>
  <r>
    <x v="7"/>
    <s v="GBR"/>
    <x v="7"/>
    <s v="NE.IMP.GNFS.ZS"/>
    <x v="2"/>
    <n v="31.469331617208031"/>
    <s v="United Kingdom|Imports of goods and services (% of GDP)|2012"/>
  </r>
  <r>
    <x v="7"/>
    <s v="GBR"/>
    <x v="7"/>
    <s v="NE.IMP.GNFS.ZS"/>
    <x v="3"/>
    <n v="31.511923500004475"/>
    <s v="United Kingdom|Imports of goods and services (% of GDP)|2013"/>
  </r>
  <r>
    <x v="7"/>
    <s v="GBR"/>
    <x v="7"/>
    <s v="NE.IMP.GNFS.ZS"/>
    <x v="4"/>
    <n v="30.289013826713301"/>
    <s v="United Kingdom|Imports of goods and services (% of GDP)|2014"/>
  </r>
  <r>
    <x v="7"/>
    <s v="GBR"/>
    <x v="7"/>
    <s v="NE.IMP.GNFS.ZS"/>
    <x v="5"/>
    <n v="29.245970987792631"/>
    <s v="United Kingdom|Imports of goods and services (% of GDP)|2015"/>
  </r>
  <r>
    <x v="7"/>
    <s v="GBR"/>
    <x v="7"/>
    <s v="NE.IMP.GNFS.ZS"/>
    <x v="6"/>
    <n v="30.777975363573105"/>
    <s v="United Kingdom|Imports of goods and services (% of GDP)|2016"/>
  </r>
  <r>
    <x v="7"/>
    <s v="GBR"/>
    <x v="7"/>
    <s v="NE.IMP.GNFS.ZS"/>
    <x v="7"/>
    <n v="32.216093479850969"/>
    <s v="United Kingdom|Imports of goods and services (% of GDP)|2017"/>
  </r>
  <r>
    <x v="7"/>
    <s v="GBR"/>
    <x v="7"/>
    <s v="NE.IMP.GNFS.ZS"/>
    <x v="8"/>
    <n v="33.055238195232093"/>
    <s v="United Kingdom|Imports of goods and services (% of GDP)|2018"/>
  </r>
  <r>
    <x v="7"/>
    <s v="GBR"/>
    <x v="7"/>
    <s v="NE.IMP.GNFS.ZS"/>
    <x v="9"/>
    <n v="33.100706137389864"/>
    <s v="United Kingdom|Imports of goods and services (% of GDP)|2019"/>
  </r>
  <r>
    <x v="7"/>
    <s v="GBR"/>
    <x v="7"/>
    <s v="NE.IMP.GNFS.ZS"/>
    <x v="10"/>
    <n v="29.211237245378214"/>
    <s v="United Kingdom|Imports of goods and services (% of GDP)|2020"/>
  </r>
  <r>
    <x v="7"/>
    <s v="GBR"/>
    <x v="7"/>
    <s v="NE.IMP.GNFS.ZS"/>
    <x v="11"/>
    <n v="29.248979184139511"/>
    <s v="United Kingdom|Imports of goods and services (% of GDP)|2021"/>
  </r>
  <r>
    <x v="7"/>
    <s v="GBR"/>
    <x v="7"/>
    <s v="NE.IMP.GNFS.ZS"/>
    <x v="12"/>
    <n v="35.13699805769118"/>
    <s v="United Kingdom|Imports of goods and services (% of GDP)|2022"/>
  </r>
  <r>
    <x v="7"/>
    <s v="GBR"/>
    <x v="7"/>
    <s v="NE.IMP.GNFS.ZS"/>
    <x v="13"/>
    <n v="33.080114411786504"/>
    <s v="United Kingdom|Imports of goods and services (% of GDP)|2023"/>
  </r>
  <r>
    <x v="7"/>
    <s v="GBR"/>
    <x v="7"/>
    <s v="NE.IMP.GNFS.ZS"/>
    <x v="14"/>
    <n v="31.782908470646497"/>
    <s v="United Kingdom|Imports of goods and services (% of GDP)|2024"/>
  </r>
  <r>
    <x v="7"/>
    <s v="GBR"/>
    <x v="7"/>
    <s v="NE.IMP.GNFS.ZS"/>
    <x v="15"/>
    <n v="31.86037124723795"/>
    <s v="United Kingdom|Imports of goods and services (% of GDP)|2025"/>
  </r>
  <r>
    <x v="7"/>
    <s v="GBR"/>
    <x v="8"/>
    <s v="BX.KLT.DINV.CD.WD"/>
    <x v="0"/>
    <n v="66734551294.091301"/>
    <s v="United Kingdom|Foreign direct investment, net inflows (BoP, current US$)|2010"/>
  </r>
  <r>
    <x v="7"/>
    <s v="GBR"/>
    <x v="8"/>
    <s v="BX.KLT.DINV.CD.WD"/>
    <x v="1"/>
    <n v="27012050072.3452"/>
    <s v="United Kingdom|Foreign direct investment, net inflows (BoP, current US$)|2011"/>
  </r>
  <r>
    <x v="7"/>
    <s v="GBR"/>
    <x v="8"/>
    <s v="BX.KLT.DINV.CD.WD"/>
    <x v="2"/>
    <n v="46750789727.726303"/>
    <s v="United Kingdom|Foreign direct investment, net inflows (BoP, current US$)|2012"/>
  </r>
  <r>
    <x v="7"/>
    <s v="GBR"/>
    <x v="8"/>
    <s v="BX.KLT.DINV.CD.WD"/>
    <x v="3"/>
    <n v="54473175400.241501"/>
    <s v="United Kingdom|Foreign direct investment, net inflows (BoP, current US$)|2013"/>
  </r>
  <r>
    <x v="7"/>
    <s v="GBR"/>
    <x v="8"/>
    <s v="BX.KLT.DINV.CD.WD"/>
    <x v="4"/>
    <n v="58890445252.713898"/>
    <s v="United Kingdom|Foreign direct investment, net inflows (BoP, current US$)|2014"/>
  </r>
  <r>
    <x v="7"/>
    <s v="GBR"/>
    <x v="8"/>
    <s v="BX.KLT.DINV.CD.WD"/>
    <x v="5"/>
    <n v="45333483122.089897"/>
    <s v="United Kingdom|Foreign direct investment, net inflows (BoP, current US$)|2015"/>
  </r>
  <r>
    <x v="7"/>
    <s v="GBR"/>
    <x v="8"/>
    <s v="BX.KLT.DINV.CD.WD"/>
    <x v="6"/>
    <n v="324813224213.021"/>
    <s v="United Kingdom|Foreign direct investment, net inflows (BoP, current US$)|2016"/>
  </r>
  <r>
    <x v="7"/>
    <s v="GBR"/>
    <x v="8"/>
    <s v="BX.KLT.DINV.CD.WD"/>
    <x v="7"/>
    <n v="125358809934.12"/>
    <s v="United Kingdom|Foreign direct investment, net inflows (BoP, current US$)|2017"/>
  </r>
  <r>
    <x v="7"/>
    <s v="GBR"/>
    <x v="8"/>
    <s v="BX.KLT.DINV.CD.WD"/>
    <x v="8"/>
    <n v="-25055440306.907299"/>
    <s v="United Kingdom|Foreign direct investment, net inflows (BoP, current US$)|2018"/>
  </r>
  <r>
    <x v="7"/>
    <s v="GBR"/>
    <x v="8"/>
    <s v="BX.KLT.DINV.CD.WD"/>
    <x v="9"/>
    <n v="19790761929.127602"/>
    <s v="United Kingdom|Foreign direct investment, net inflows (BoP, current US$)|2019"/>
  </r>
  <r>
    <x v="7"/>
    <s v="GBR"/>
    <x v="8"/>
    <s v="BX.KLT.DINV.CD.WD"/>
    <x v="10"/>
    <n v="157185559299.98901"/>
    <s v="United Kingdom|Foreign direct investment, net inflows (BoP, current US$)|2020"/>
  </r>
  <r>
    <x v="7"/>
    <s v="GBR"/>
    <x v="8"/>
    <s v="BX.KLT.DINV.CD.WD"/>
    <x v="11"/>
    <n v="102431564639.492"/>
    <s v="United Kingdom|Foreign direct investment, net inflows (BoP, current US$)|2021"/>
  </r>
  <r>
    <x v="7"/>
    <s v="GBR"/>
    <x v="8"/>
    <s v="BX.KLT.DINV.CD.WD"/>
    <x v="12"/>
    <n v="92776358059.349197"/>
    <s v="United Kingdom|Foreign direct investment, net inflows (BoP, current US$)|2022"/>
  </r>
  <r>
    <x v="7"/>
    <s v="GBR"/>
    <x v="8"/>
    <s v="BX.KLT.DINV.CD.WD"/>
    <x v="13"/>
    <n v="13789803776.160801"/>
    <s v="United Kingdom|Foreign direct investment, net inflows (BoP, current US$)|2023"/>
  </r>
  <r>
    <x v="7"/>
    <s v="GBR"/>
    <x v="8"/>
    <s v="BX.KLT.DINV.CD.WD"/>
    <x v="14"/>
    <n v="-12955141484.5037"/>
    <s v="United Kingdom|Foreign direct investment, net inflows (BoP, current US$)|2024"/>
  </r>
  <r>
    <x v="7"/>
    <s v="GBR"/>
    <x v="8"/>
    <s v="BX.KLT.DINV.CD.WD"/>
    <x v="15"/>
    <n v="76628404708.653595"/>
    <s v="United Kingdom|Foreign direct investment, net inflows (BoP, current US$)|2025"/>
  </r>
  <r>
    <x v="7"/>
    <s v="GBR"/>
    <x v="9"/>
    <s v="SP.POP.TOTL"/>
    <x v="0"/>
    <n v="62766365"/>
    <s v="United Kingdom|Population, total|2010"/>
  </r>
  <r>
    <x v="7"/>
    <s v="GBR"/>
    <x v="9"/>
    <s v="SP.POP.TOTL"/>
    <x v="1"/>
    <n v="63258810"/>
    <s v="United Kingdom|Population, total|2011"/>
  </r>
  <r>
    <x v="7"/>
    <s v="GBR"/>
    <x v="9"/>
    <s v="SP.POP.TOTL"/>
    <x v="2"/>
    <n v="63711000"/>
    <s v="United Kingdom|Population, total|2012"/>
  </r>
  <r>
    <x v="7"/>
    <s v="GBR"/>
    <x v="9"/>
    <s v="SP.POP.TOTL"/>
    <x v="3"/>
    <n v="64138000"/>
    <s v="United Kingdom|Population, total|2013"/>
  </r>
  <r>
    <x v="7"/>
    <s v="GBR"/>
    <x v="9"/>
    <s v="SP.POP.TOTL"/>
    <x v="4"/>
    <n v="64619000"/>
    <s v="United Kingdom|Population, total|2014"/>
  </r>
  <r>
    <x v="7"/>
    <s v="GBR"/>
    <x v="9"/>
    <s v="SP.POP.TOTL"/>
    <x v="5"/>
    <n v="65087000"/>
    <s v="United Kingdom|Population, total|2015"/>
  </r>
  <r>
    <x v="7"/>
    <s v="GBR"/>
    <x v="9"/>
    <s v="SP.POP.TOTL"/>
    <x v="6"/>
    <n v="65606000"/>
    <s v="United Kingdom|Population, total|2016"/>
  </r>
  <r>
    <x v="7"/>
    <s v="GBR"/>
    <x v="9"/>
    <s v="SP.POP.TOTL"/>
    <x v="7"/>
    <n v="65964000"/>
    <s v="United Kingdom|Population, total|2017"/>
  </r>
  <r>
    <x v="7"/>
    <s v="GBR"/>
    <x v="9"/>
    <s v="SP.POP.TOTL"/>
    <x v="8"/>
    <n v="66287000"/>
    <s v="United Kingdom|Population, total|2018"/>
  </r>
  <r>
    <x v="7"/>
    <s v="GBR"/>
    <x v="9"/>
    <s v="SP.POP.TOTL"/>
    <x v="9"/>
    <n v="66628000"/>
    <s v="United Kingdom|Population, total|2019"/>
  </r>
  <r>
    <x v="7"/>
    <s v="GBR"/>
    <x v="9"/>
    <s v="SP.POP.TOTL"/>
    <x v="10"/>
    <n v="66740000"/>
    <s v="United Kingdom|Population, total|2020"/>
  </r>
  <r>
    <x v="7"/>
    <s v="GBR"/>
    <x v="9"/>
    <s v="SP.POP.TOTL"/>
    <x v="11"/>
    <n v="66978000"/>
    <s v="United Kingdom|Population, total|2021"/>
  </r>
  <r>
    <x v="7"/>
    <s v="GBR"/>
    <x v="9"/>
    <s v="SP.POP.TOTL"/>
    <x v="12"/>
    <n v="67636000"/>
    <s v="United Kingdom|Population, total|2022"/>
  </r>
  <r>
    <x v="7"/>
    <s v="GBR"/>
    <x v="9"/>
    <s v="SP.POP.TOTL"/>
    <x v="13"/>
    <n v="68526000"/>
    <s v="United Kingdom|Population, total|2023"/>
  </r>
  <r>
    <x v="7"/>
    <s v="GBR"/>
    <x v="9"/>
    <s v="SP.POP.TOTL"/>
    <x v="14"/>
    <n v="69281000"/>
    <s v="United Kingdom|Population, total|2024"/>
  </r>
  <r>
    <x v="7"/>
    <s v="GBR"/>
    <x v="9"/>
    <s v="SP.POP.TOTL"/>
    <x v="15"/>
    <n v="69487000"/>
    <s v="United Kingdom|Population, total|2025"/>
  </r>
  <r>
    <x v="8"/>
    <s v="USA"/>
    <x v="0"/>
    <s v="NY.GDP.MKTP.CD"/>
    <x v="0"/>
    <n v="15048971000000"/>
    <s v="United States|GDP (current US$)|2010"/>
  </r>
  <r>
    <x v="8"/>
    <s v="USA"/>
    <x v="0"/>
    <s v="NY.GDP.MKTP.CD"/>
    <x v="1"/>
    <n v="15599732000000"/>
    <s v="United States|GDP (current US$)|2011"/>
  </r>
  <r>
    <x v="8"/>
    <s v="USA"/>
    <x v="0"/>
    <s v="NY.GDP.MKTP.CD"/>
    <x v="2"/>
    <n v="16253970000000"/>
    <s v="United States|GDP (current US$)|2012"/>
  </r>
  <r>
    <x v="8"/>
    <s v="USA"/>
    <x v="0"/>
    <s v="NY.GDP.MKTP.CD"/>
    <x v="3"/>
    <n v="16880683000000"/>
    <s v="United States|GDP (current US$)|2013"/>
  </r>
  <r>
    <x v="8"/>
    <s v="USA"/>
    <x v="0"/>
    <s v="NY.GDP.MKTP.CD"/>
    <x v="4"/>
    <n v="17608138000000"/>
    <s v="United States|GDP (current US$)|2014"/>
  </r>
  <r>
    <x v="8"/>
    <s v="USA"/>
    <x v="0"/>
    <s v="NY.GDP.MKTP.CD"/>
    <x v="5"/>
    <n v="18295019000000"/>
    <s v="United States|GDP (current US$)|2015"/>
  </r>
  <r>
    <x v="8"/>
    <s v="USA"/>
    <x v="0"/>
    <s v="NY.GDP.MKTP.CD"/>
    <x v="6"/>
    <n v="18804913000000"/>
    <s v="United States|GDP (current US$)|2016"/>
  </r>
  <r>
    <x v="8"/>
    <s v="USA"/>
    <x v="0"/>
    <s v="NY.GDP.MKTP.CD"/>
    <x v="7"/>
    <n v="19612102000000"/>
    <s v="United States|GDP (current US$)|2017"/>
  </r>
  <r>
    <x v="8"/>
    <s v="USA"/>
    <x v="0"/>
    <s v="NY.GDP.MKTP.CD"/>
    <x v="8"/>
    <n v="20656516000000"/>
    <s v="United States|GDP (current US$)|2018"/>
  </r>
  <r>
    <x v="8"/>
    <s v="USA"/>
    <x v="0"/>
    <s v="NY.GDP.MKTP.CD"/>
    <x v="9"/>
    <n v="21539982000000"/>
    <s v="United States|GDP (current US$)|2019"/>
  </r>
  <r>
    <x v="8"/>
    <s v="USA"/>
    <x v="0"/>
    <s v="NY.GDP.MKTP.CD"/>
    <x v="10"/>
    <n v="21375281000000"/>
    <s v="United States|GDP (current US$)|2020"/>
  </r>
  <r>
    <x v="8"/>
    <s v="USA"/>
    <x v="0"/>
    <s v="NY.GDP.MKTP.CD"/>
    <x v="11"/>
    <n v="23725645000000"/>
    <s v="United States|GDP (current US$)|2021"/>
  </r>
  <r>
    <x v="8"/>
    <s v="USA"/>
    <x v="0"/>
    <s v="NY.GDP.MKTP.CD"/>
    <x v="12"/>
    <n v="26054614000000"/>
    <s v="United States|GDP (current US$)|2022"/>
  </r>
  <r>
    <x v="8"/>
    <s v="USA"/>
    <x v="0"/>
    <s v="NY.GDP.MKTP.CD"/>
    <x v="13"/>
    <n v="27811517000000"/>
    <s v="United States|GDP (current US$)|2023"/>
  </r>
  <r>
    <x v="8"/>
    <s v="USA"/>
    <x v="0"/>
    <s v="NY.GDP.MKTP.CD"/>
    <x v="14"/>
    <n v="29298013000000"/>
    <s v="United States|GDP (current US$)|2024"/>
  </r>
  <r>
    <x v="8"/>
    <s v="USA"/>
    <x v="0"/>
    <s v="NY.GDP.MKTP.CD"/>
    <x v="15"/>
    <n v="30769700000000"/>
    <s v="United States|GDP (current US$)|2025"/>
  </r>
  <r>
    <x v="8"/>
    <s v="USA"/>
    <x v="1"/>
    <s v="NY.GDP.MKTP.KD.ZG"/>
    <x v="0"/>
    <n v="2.6951925867352458"/>
    <s v="United States|GDP growth (annual %)|2010"/>
  </r>
  <r>
    <x v="8"/>
    <s v="USA"/>
    <x v="1"/>
    <s v="NY.GDP.MKTP.KD.ZG"/>
    <x v="1"/>
    <n v="1.5644068520541907"/>
    <s v="United States|GDP growth (annual %)|2011"/>
  </r>
  <r>
    <x v="8"/>
    <s v="USA"/>
    <x v="1"/>
    <s v="NY.GDP.MKTP.KD.ZG"/>
    <x v="2"/>
    <n v="2.2891133900976683"/>
    <s v="United States|GDP growth (annual %)|2012"/>
  </r>
  <r>
    <x v="8"/>
    <s v="USA"/>
    <x v="1"/>
    <s v="NY.GDP.MKTP.KD.ZG"/>
    <x v="3"/>
    <n v="2.1178300944347086"/>
    <s v="United States|GDP growth (annual %)|2013"/>
  </r>
  <r>
    <x v="8"/>
    <s v="USA"/>
    <x v="1"/>
    <s v="NY.GDP.MKTP.KD.ZG"/>
    <x v="4"/>
    <n v="2.5238198175784561"/>
    <s v="United States|GDP growth (annual %)|2014"/>
  </r>
  <r>
    <x v="8"/>
    <s v="USA"/>
    <x v="1"/>
    <s v="NY.GDP.MKTP.KD.ZG"/>
    <x v="5"/>
    <n v="2.9455504522733662"/>
    <s v="United States|GDP growth (annual %)|2015"/>
  </r>
  <r>
    <x v="8"/>
    <s v="USA"/>
    <x v="1"/>
    <s v="NY.GDP.MKTP.KD.ZG"/>
    <x v="6"/>
    <n v="1.8194514790908869"/>
    <s v="United States|GDP growth (annual %)|2016"/>
  </r>
  <r>
    <x v="8"/>
    <s v="USA"/>
    <x v="1"/>
    <s v="NY.GDP.MKTP.KD.ZG"/>
    <x v="7"/>
    <n v="2.4576223012644931"/>
    <s v="United States|GDP growth (annual %)|2017"/>
  </r>
  <r>
    <x v="8"/>
    <s v="USA"/>
    <x v="1"/>
    <s v="NY.GDP.MKTP.KD.ZG"/>
    <x v="8"/>
    <n v="2.9665050670194262"/>
    <s v="United States|GDP growth (annual %)|2018"/>
  </r>
  <r>
    <x v="8"/>
    <s v="USA"/>
    <x v="1"/>
    <s v="NY.GDP.MKTP.KD.ZG"/>
    <x v="9"/>
    <n v="2.5838253305222452"/>
    <s v="United States|GDP growth (annual %)|2019"/>
  </r>
  <r>
    <x v="8"/>
    <s v="USA"/>
    <x v="1"/>
    <s v="NY.GDP.MKTP.KD.ZG"/>
    <x v="10"/>
    <n v="-2.0813759777960001"/>
    <s v="United States|GDP growth (annual %)|2020"/>
  </r>
  <r>
    <x v="8"/>
    <s v="USA"/>
    <x v="1"/>
    <s v="NY.GDP.MKTP.KD.ZG"/>
    <x v="11"/>
    <n v="6.1520224786752635"/>
    <s v="United States|GDP growth (annual %)|2021"/>
  </r>
  <r>
    <x v="8"/>
    <s v="USA"/>
    <x v="1"/>
    <s v="NY.GDP.MKTP.KD.ZG"/>
    <x v="12"/>
    <n v="2.5242138507322238"/>
    <s v="United States|GDP growth (annual %)|2022"/>
  </r>
  <r>
    <x v="8"/>
    <s v="USA"/>
    <x v="1"/>
    <s v="NY.GDP.MKTP.KD.ZG"/>
    <x v="13"/>
    <n v="2.934363224401551"/>
    <s v="United States|GDP growth (annual %)|2023"/>
  </r>
  <r>
    <x v="8"/>
    <s v="USA"/>
    <x v="1"/>
    <s v="NY.GDP.MKTP.KD.ZG"/>
    <x v="14"/>
    <n v="2.7931871536384136"/>
    <s v="United States|GDP growth (annual %)|2024"/>
  </r>
  <r>
    <x v="8"/>
    <s v="USA"/>
    <x v="1"/>
    <s v="NY.GDP.MKTP.KD.ZG"/>
    <x v="15"/>
    <n v="2.1613819562385572"/>
    <s v="United States|GDP growth (annual %)|2025"/>
  </r>
  <r>
    <x v="8"/>
    <s v="USA"/>
    <x v="2"/>
    <s v="FP.CPI.TOTL.ZG"/>
    <x v="0"/>
    <n v="1.640043442389904"/>
    <s v="United States|Inflation, consumer prices (annual %)|2010"/>
  </r>
  <r>
    <x v="8"/>
    <s v="USA"/>
    <x v="2"/>
    <s v="FP.CPI.TOTL.ZG"/>
    <x v="1"/>
    <n v="3.1568415686220002"/>
    <s v="United States|Inflation, consumer prices (annual %)|2011"/>
  </r>
  <r>
    <x v="8"/>
    <s v="USA"/>
    <x v="2"/>
    <s v="FP.CPI.TOTL.ZG"/>
    <x v="2"/>
    <n v="2.0693372652606659"/>
    <s v="United States|Inflation, consumer prices (annual %)|2012"/>
  </r>
  <r>
    <x v="8"/>
    <s v="USA"/>
    <x v="2"/>
    <s v="FP.CPI.TOTL.ZG"/>
    <x v="3"/>
    <n v="1.4648326556271669"/>
    <s v="United States|Inflation, consumer prices (annual %)|2013"/>
  </r>
  <r>
    <x v="8"/>
    <s v="USA"/>
    <x v="2"/>
    <s v="FP.CPI.TOTL.ZG"/>
    <x v="4"/>
    <n v="1.622222977408174"/>
    <s v="United States|Inflation, consumer prices (annual %)|2014"/>
  </r>
  <r>
    <x v="8"/>
    <s v="USA"/>
    <x v="2"/>
    <s v="FP.CPI.TOTL.ZG"/>
    <x v="5"/>
    <n v="0.11862713555245059"/>
    <s v="United States|Inflation, consumer prices (annual %)|2015"/>
  </r>
  <r>
    <x v="8"/>
    <s v="USA"/>
    <x v="2"/>
    <s v="FP.CPI.TOTL.ZG"/>
    <x v="6"/>
    <n v="1.261583205705358"/>
    <s v="United States|Inflation, consumer prices (annual %)|2016"/>
  </r>
  <r>
    <x v="8"/>
    <s v="USA"/>
    <x v="2"/>
    <s v="FP.CPI.TOTL.ZG"/>
    <x v="7"/>
    <n v="2.1301100036596119"/>
    <s v="United States|Inflation, consumer prices (annual %)|2017"/>
  </r>
  <r>
    <x v="8"/>
    <s v="USA"/>
    <x v="2"/>
    <s v="FP.CPI.TOTL.ZG"/>
    <x v="8"/>
    <n v="2.442583296928166"/>
    <s v="United States|Inflation, consumer prices (annual %)|2018"/>
  </r>
  <r>
    <x v="8"/>
    <s v="USA"/>
    <x v="2"/>
    <s v="FP.CPI.TOTL.ZG"/>
    <x v="9"/>
    <n v="1.8122100752602051"/>
    <s v="United States|Inflation, consumer prices (annual %)|2019"/>
  </r>
  <r>
    <x v="8"/>
    <s v="USA"/>
    <x v="2"/>
    <s v="FP.CPI.TOTL.ZG"/>
    <x v="10"/>
    <n v="1.2335843963062929"/>
    <s v="United States|Inflation, consumer prices (annual %)|2020"/>
  </r>
  <r>
    <x v="8"/>
    <s v="USA"/>
    <x v="2"/>
    <s v="FP.CPI.TOTL.ZG"/>
    <x v="11"/>
    <n v="4.6978588636374212"/>
    <s v="United States|Inflation, consumer prices (annual %)|2021"/>
  </r>
  <r>
    <x v="8"/>
    <s v="USA"/>
    <x v="2"/>
    <s v="FP.CPI.TOTL.ZG"/>
    <x v="12"/>
    <n v="8.0027998205212096"/>
    <s v="United States|Inflation, consumer prices (annual %)|2022"/>
  </r>
  <r>
    <x v="8"/>
    <s v="USA"/>
    <x v="2"/>
    <s v="FP.CPI.TOTL.ZG"/>
    <x v="13"/>
    <n v="4.1163383837448784"/>
    <s v="United States|Inflation, consumer prices (annual %)|2023"/>
  </r>
  <r>
    <x v="8"/>
    <s v="USA"/>
    <x v="2"/>
    <s v="FP.CPI.TOTL.ZG"/>
    <x v="14"/>
    <n v="2.949525204852073"/>
    <s v="United States|Inflation, consumer prices (annual %)|2024"/>
  </r>
  <r>
    <x v="8"/>
    <s v="USA"/>
    <x v="2"/>
    <s v="FP.CPI.TOTL.ZG"/>
    <x v="15"/>
    <m/>
    <s v="United States|Inflation, consumer prices (annual %)|2025"/>
  </r>
  <r>
    <x v="8"/>
    <s v="USA"/>
    <x v="3"/>
    <s v="SL.UEM.TOTL.ZS"/>
    <x v="0"/>
    <n v="9.6329999999999991"/>
    <s v="United States|Unemployment, total (% of total labor force) (modeled ILO estimate)|2010"/>
  </r>
  <r>
    <x v="8"/>
    <s v="USA"/>
    <x v="3"/>
    <s v="SL.UEM.TOTL.ZS"/>
    <x v="1"/>
    <n v="8.9489999999999998"/>
    <s v="United States|Unemployment, total (% of total labor force) (modeled ILO estimate)|2011"/>
  </r>
  <r>
    <x v="8"/>
    <s v="USA"/>
    <x v="3"/>
    <s v="SL.UEM.TOTL.ZS"/>
    <x v="2"/>
    <n v="8.0690000000000008"/>
    <s v="United States|Unemployment, total (% of total labor force) (modeled ILO estimate)|2012"/>
  </r>
  <r>
    <x v="8"/>
    <s v="USA"/>
    <x v="3"/>
    <s v="SL.UEM.TOTL.ZS"/>
    <x v="3"/>
    <n v="7.375"/>
    <s v="United States|Unemployment, total (% of total labor force) (modeled ILO estimate)|2013"/>
  </r>
  <r>
    <x v="8"/>
    <s v="USA"/>
    <x v="3"/>
    <s v="SL.UEM.TOTL.ZS"/>
    <x v="4"/>
    <n v="6.1680000000000001"/>
    <s v="United States|Unemployment, total (% of total labor force) (modeled ILO estimate)|2014"/>
  </r>
  <r>
    <x v="8"/>
    <s v="USA"/>
    <x v="3"/>
    <s v="SL.UEM.TOTL.ZS"/>
    <x v="5"/>
    <n v="5.28"/>
    <s v="United States|Unemployment, total (% of total labor force) (modeled ILO estimate)|2015"/>
  </r>
  <r>
    <x v="8"/>
    <s v="USA"/>
    <x v="3"/>
    <s v="SL.UEM.TOTL.ZS"/>
    <x v="6"/>
    <n v="4.8689999999999998"/>
    <s v="United States|Unemployment, total (% of total labor force) (modeled ILO estimate)|2016"/>
  </r>
  <r>
    <x v="8"/>
    <s v="USA"/>
    <x v="3"/>
    <s v="SL.UEM.TOTL.ZS"/>
    <x v="7"/>
    <n v="4.3550000000000004"/>
    <s v="United States|Unemployment, total (% of total labor force) (modeled ILO estimate)|2017"/>
  </r>
  <r>
    <x v="8"/>
    <s v="USA"/>
    <x v="3"/>
    <s v="SL.UEM.TOTL.ZS"/>
    <x v="8"/>
    <n v="3.8959999999999999"/>
    <s v="United States|Unemployment, total (% of total labor force) (modeled ILO estimate)|2018"/>
  </r>
  <r>
    <x v="8"/>
    <s v="USA"/>
    <x v="3"/>
    <s v="SL.UEM.TOTL.ZS"/>
    <x v="9"/>
    <n v="3.669"/>
    <s v="United States|Unemployment, total (% of total labor force) (modeled ILO estimate)|2019"/>
  </r>
  <r>
    <x v="8"/>
    <s v="USA"/>
    <x v="3"/>
    <s v="SL.UEM.TOTL.ZS"/>
    <x v="10"/>
    <n v="8.0549999999999997"/>
    <s v="United States|Unemployment, total (% of total labor force) (modeled ILO estimate)|2020"/>
  </r>
  <r>
    <x v="8"/>
    <s v="USA"/>
    <x v="3"/>
    <s v="SL.UEM.TOTL.ZS"/>
    <x v="11"/>
    <n v="5.3490000000000002"/>
    <s v="United States|Unemployment, total (% of total labor force) (modeled ILO estimate)|2021"/>
  </r>
  <r>
    <x v="8"/>
    <s v="USA"/>
    <x v="3"/>
    <s v="SL.UEM.TOTL.ZS"/>
    <x v="12"/>
    <n v="3.65"/>
    <s v="United States|Unemployment, total (% of total labor force) (modeled ILO estimate)|2022"/>
  </r>
  <r>
    <x v="8"/>
    <s v="USA"/>
    <x v="3"/>
    <s v="SL.UEM.TOTL.ZS"/>
    <x v="13"/>
    <n v="3.6379999999999999"/>
    <s v="United States|Unemployment, total (% of total labor force) (modeled ILO estimate)|2023"/>
  </r>
  <r>
    <x v="8"/>
    <s v="USA"/>
    <x v="3"/>
    <s v="SL.UEM.TOTL.ZS"/>
    <x v="14"/>
    <n v="4.0220000000000002"/>
    <s v="United States|Unemployment, total (% of total labor force) (modeled ILO estimate)|2024"/>
  </r>
  <r>
    <x v="8"/>
    <s v="USA"/>
    <x v="3"/>
    <s v="SL.UEM.TOTL.ZS"/>
    <x v="15"/>
    <n v="4.1980000000000004"/>
    <s v="United States|Unemployment, total (% of total labor force) (modeled ILO estimate)|2025"/>
  </r>
  <r>
    <x v="8"/>
    <s v="USA"/>
    <x v="4"/>
    <s v="FR.INR.LEND"/>
    <x v="0"/>
    <n v="3.25"/>
    <s v="United States|Lending interest rate (%)|2010"/>
  </r>
  <r>
    <x v="8"/>
    <s v="USA"/>
    <x v="4"/>
    <s v="FR.INR.LEND"/>
    <x v="1"/>
    <n v="3.25"/>
    <s v="United States|Lending interest rate (%)|2011"/>
  </r>
  <r>
    <x v="8"/>
    <s v="USA"/>
    <x v="4"/>
    <s v="FR.INR.LEND"/>
    <x v="2"/>
    <n v="3.25"/>
    <s v="United States|Lending interest rate (%)|2012"/>
  </r>
  <r>
    <x v="8"/>
    <s v="USA"/>
    <x v="4"/>
    <s v="FR.INR.LEND"/>
    <x v="3"/>
    <n v="3.25"/>
    <s v="United States|Lending interest rate (%)|2013"/>
  </r>
  <r>
    <x v="8"/>
    <s v="USA"/>
    <x v="4"/>
    <s v="FR.INR.LEND"/>
    <x v="4"/>
    <n v="3.25"/>
    <s v="United States|Lending interest rate (%)|2014"/>
  </r>
  <r>
    <x v="8"/>
    <s v="USA"/>
    <x v="4"/>
    <s v="FR.INR.LEND"/>
    <x v="5"/>
    <n v="3.26"/>
    <s v="United States|Lending interest rate (%)|2015"/>
  </r>
  <r>
    <x v="8"/>
    <s v="USA"/>
    <x v="4"/>
    <s v="FR.INR.LEND"/>
    <x v="6"/>
    <n v="3.511666666666668"/>
    <s v="United States|Lending interest rate (%)|2016"/>
  </r>
  <r>
    <x v="8"/>
    <s v="USA"/>
    <x v="4"/>
    <s v="FR.INR.LEND"/>
    <x v="7"/>
    <n v="4.0966666666666676"/>
    <s v="United States|Lending interest rate (%)|2017"/>
  </r>
  <r>
    <x v="8"/>
    <s v="USA"/>
    <x v="4"/>
    <s v="FR.INR.LEND"/>
    <x v="8"/>
    <n v="4.904166666666665"/>
    <s v="United States|Lending interest rate (%)|2018"/>
  </r>
  <r>
    <x v="8"/>
    <s v="USA"/>
    <x v="4"/>
    <s v="FR.INR.LEND"/>
    <x v="9"/>
    <n v="5.2824999999999998"/>
    <s v="United States|Lending interest rate (%)|2019"/>
  </r>
  <r>
    <x v="8"/>
    <s v="USA"/>
    <x v="4"/>
    <s v="FR.INR.LEND"/>
    <x v="10"/>
    <n v="3.5441666666666678"/>
    <s v="United States|Lending interest rate (%)|2020"/>
  </r>
  <r>
    <x v="8"/>
    <s v="USA"/>
    <x v="4"/>
    <s v="FR.INR.LEND"/>
    <x v="11"/>
    <n v="3.25"/>
    <s v="United States|Lending interest rate (%)|2021"/>
  </r>
  <r>
    <x v="8"/>
    <s v="USA"/>
    <x v="4"/>
    <s v="FR.INR.LEND"/>
    <x v="12"/>
    <m/>
    <s v="United States|Lending interest rate (%)|2022"/>
  </r>
  <r>
    <x v="8"/>
    <s v="USA"/>
    <x v="4"/>
    <s v="FR.INR.LEND"/>
    <x v="13"/>
    <m/>
    <s v="United States|Lending interest rate (%)|2023"/>
  </r>
  <r>
    <x v="8"/>
    <s v="USA"/>
    <x v="4"/>
    <s v="FR.INR.LEND"/>
    <x v="14"/>
    <m/>
    <s v="United States|Lending interest rate (%)|2024"/>
  </r>
  <r>
    <x v="8"/>
    <s v="USA"/>
    <x v="4"/>
    <s v="FR.INR.LEND"/>
    <x v="15"/>
    <m/>
    <s v="United States|Lending interest rate (%)|2025"/>
  </r>
  <r>
    <x v="8"/>
    <s v="USA"/>
    <x v="5"/>
    <s v="PA.NUS.FCRF"/>
    <x v="0"/>
    <n v="1"/>
    <s v="United States|Official exchange rate (LCU per US$, period average)|2010"/>
  </r>
  <r>
    <x v="8"/>
    <s v="USA"/>
    <x v="5"/>
    <s v="PA.NUS.FCRF"/>
    <x v="1"/>
    <n v="1"/>
    <s v="United States|Official exchange rate (LCU per US$, period average)|2011"/>
  </r>
  <r>
    <x v="8"/>
    <s v="USA"/>
    <x v="5"/>
    <s v="PA.NUS.FCRF"/>
    <x v="2"/>
    <n v="1"/>
    <s v="United States|Official exchange rate (LCU per US$, period average)|2012"/>
  </r>
  <r>
    <x v="8"/>
    <s v="USA"/>
    <x v="5"/>
    <s v="PA.NUS.FCRF"/>
    <x v="3"/>
    <n v="1"/>
    <s v="United States|Official exchange rate (LCU per US$, period average)|2013"/>
  </r>
  <r>
    <x v="8"/>
    <s v="USA"/>
    <x v="5"/>
    <s v="PA.NUS.FCRF"/>
    <x v="4"/>
    <n v="1"/>
    <s v="United States|Official exchange rate (LCU per US$, period average)|2014"/>
  </r>
  <r>
    <x v="8"/>
    <s v="USA"/>
    <x v="5"/>
    <s v="PA.NUS.FCRF"/>
    <x v="5"/>
    <n v="1"/>
    <s v="United States|Official exchange rate (LCU per US$, period average)|2015"/>
  </r>
  <r>
    <x v="8"/>
    <s v="USA"/>
    <x v="5"/>
    <s v="PA.NUS.FCRF"/>
    <x v="6"/>
    <n v="1"/>
    <s v="United States|Official exchange rate (LCU per US$, period average)|2016"/>
  </r>
  <r>
    <x v="8"/>
    <s v="USA"/>
    <x v="5"/>
    <s v="PA.NUS.FCRF"/>
    <x v="7"/>
    <n v="1"/>
    <s v="United States|Official exchange rate (LCU per US$, period average)|2017"/>
  </r>
  <r>
    <x v="8"/>
    <s v="USA"/>
    <x v="5"/>
    <s v="PA.NUS.FCRF"/>
    <x v="8"/>
    <n v="1"/>
    <s v="United States|Official exchange rate (LCU per US$, period average)|2018"/>
  </r>
  <r>
    <x v="8"/>
    <s v="USA"/>
    <x v="5"/>
    <s v="PA.NUS.FCRF"/>
    <x v="9"/>
    <n v="1"/>
    <s v="United States|Official exchange rate (LCU per US$, period average)|2019"/>
  </r>
  <r>
    <x v="8"/>
    <s v="USA"/>
    <x v="5"/>
    <s v="PA.NUS.FCRF"/>
    <x v="10"/>
    <n v="1"/>
    <s v="United States|Official exchange rate (LCU per US$, period average)|2020"/>
  </r>
  <r>
    <x v="8"/>
    <s v="USA"/>
    <x v="5"/>
    <s v="PA.NUS.FCRF"/>
    <x v="11"/>
    <n v="1"/>
    <s v="United States|Official exchange rate (LCU per US$, period average)|2021"/>
  </r>
  <r>
    <x v="8"/>
    <s v="USA"/>
    <x v="5"/>
    <s v="PA.NUS.FCRF"/>
    <x v="12"/>
    <n v="1"/>
    <s v="United States|Official exchange rate (LCU per US$, period average)|2022"/>
  </r>
  <r>
    <x v="8"/>
    <s v="USA"/>
    <x v="5"/>
    <s v="PA.NUS.FCRF"/>
    <x v="13"/>
    <n v="1"/>
    <s v="United States|Official exchange rate (LCU per US$, period average)|2023"/>
  </r>
  <r>
    <x v="8"/>
    <s v="USA"/>
    <x v="5"/>
    <s v="PA.NUS.FCRF"/>
    <x v="14"/>
    <n v="1"/>
    <s v="United States|Official exchange rate (LCU per US$, period average)|2024"/>
  </r>
  <r>
    <x v="8"/>
    <s v="USA"/>
    <x v="5"/>
    <s v="PA.NUS.FCRF"/>
    <x v="15"/>
    <n v="1"/>
    <s v="United States|Official exchange rate (LCU per US$, period average)|2025"/>
  </r>
  <r>
    <x v="8"/>
    <s v="USA"/>
    <x v="6"/>
    <s v="NE.EXP.GNFS.ZS"/>
    <x v="0"/>
    <n v="12.341355432208621"/>
    <s v="United States|Exports of goods and services (% of GDP)|2010"/>
  </r>
  <r>
    <x v="8"/>
    <s v="USA"/>
    <x v="6"/>
    <s v="NE.EXP.GNFS.ZS"/>
    <x v="1"/>
    <n v="13.563463782582932"/>
    <s v="United States|Exports of goods and services (% of GDP)|2011"/>
  </r>
  <r>
    <x v="8"/>
    <s v="USA"/>
    <x v="6"/>
    <s v="NE.EXP.GNFS.ZS"/>
    <x v="2"/>
    <n v="13.644051268705429"/>
    <s v="United States|Exports of goods and services (% of GDP)|2012"/>
  </r>
  <r>
    <x v="8"/>
    <s v="USA"/>
    <x v="6"/>
    <s v="NE.EXP.GNFS.ZS"/>
    <x v="3"/>
    <n v="13.553491881815447"/>
    <s v="United States|Exports of goods and services (% of GDP)|2013"/>
  </r>
  <r>
    <x v="8"/>
    <s v="USA"/>
    <x v="6"/>
    <s v="NE.EXP.GNFS.ZS"/>
    <x v="4"/>
    <n v="13.508214213223454"/>
    <s v="United States|Exports of goods and services (% of GDP)|2014"/>
  </r>
  <r>
    <x v="8"/>
    <s v="USA"/>
    <x v="6"/>
    <s v="NE.EXP.GNFS.ZS"/>
    <x v="5"/>
    <n v="12.411148630127141"/>
    <s v="United States|Exports of goods and services (% of GDP)|2015"/>
  </r>
  <r>
    <x v="8"/>
    <s v="USA"/>
    <x v="6"/>
    <s v="NE.EXP.GNFS.ZS"/>
    <x v="6"/>
    <n v="11.888159227325328"/>
    <s v="United States|Exports of goods and services (% of GDP)|2016"/>
  </r>
  <r>
    <x v="8"/>
    <s v="USA"/>
    <x v="6"/>
    <s v="NE.EXP.GNFS.ZS"/>
    <x v="7"/>
    <n v="12.177481026766024"/>
    <s v="United States|Exports of goods and services (% of GDP)|2017"/>
  </r>
  <r>
    <x v="8"/>
    <s v="USA"/>
    <x v="6"/>
    <s v="NE.EXP.GNFS.ZS"/>
    <x v="8"/>
    <n v="12.287110759626648"/>
    <s v="United States|Exports of goods and services (% of GDP)|2018"/>
  </r>
  <r>
    <x v="8"/>
    <s v="USA"/>
    <x v="6"/>
    <s v="NE.EXP.GNFS.ZS"/>
    <x v="9"/>
    <n v="11.789197409728569"/>
    <s v="United States|Exports of goods and services (% of GDP)|2019"/>
  </r>
  <r>
    <x v="8"/>
    <s v="USA"/>
    <x v="6"/>
    <s v="NE.EXP.GNFS.ZS"/>
    <x v="10"/>
    <n v="10.123080955052707"/>
    <s v="United States|Exports of goods and services (% of GDP)|2020"/>
  </r>
  <r>
    <x v="8"/>
    <s v="USA"/>
    <x v="6"/>
    <s v="NE.EXP.GNFS.ZS"/>
    <x v="11"/>
    <n v="10.826668779710731"/>
    <s v="United States|Exports of goods and services (% of GDP)|2021"/>
  </r>
  <r>
    <x v="8"/>
    <s v="USA"/>
    <x v="6"/>
    <s v="NE.EXP.GNFS.ZS"/>
    <x v="12"/>
    <n v="11.654097044001496"/>
    <s v="United States|Exports of goods and services (% of GDP)|2022"/>
  </r>
  <r>
    <x v="8"/>
    <s v="USA"/>
    <x v="6"/>
    <s v="NE.EXP.GNFS.ZS"/>
    <x v="13"/>
    <n v="11.050673719092705"/>
    <s v="United States|Exports of goods and services (% of GDP)|2023"/>
  </r>
  <r>
    <x v="8"/>
    <s v="USA"/>
    <x v="6"/>
    <s v="NE.EXP.GNFS.ZS"/>
    <x v="14"/>
    <n v="10.974696475150038"/>
    <s v="United States|Exports of goods and services (% of GDP)|2024"/>
  </r>
  <r>
    <x v="8"/>
    <s v="USA"/>
    <x v="6"/>
    <s v="NE.EXP.GNFS.ZS"/>
    <x v="15"/>
    <m/>
    <s v="United States|Exports of goods and services (% of GDP)|2025"/>
  </r>
  <r>
    <x v="8"/>
    <s v="USA"/>
    <x v="7"/>
    <s v="NE.IMP.GNFS.ZS"/>
    <x v="0"/>
    <n v="15.878527508625009"/>
    <s v="United States|Imports of goods and services (% of GDP)|2010"/>
  </r>
  <r>
    <x v="8"/>
    <s v="USA"/>
    <x v="7"/>
    <s v="NE.IMP.GNFS.ZS"/>
    <x v="1"/>
    <n v="17.279014793331065"/>
    <s v="United States|Imports of goods and services (% of GDP)|2011"/>
  </r>
  <r>
    <x v="8"/>
    <s v="USA"/>
    <x v="7"/>
    <s v="NE.IMP.GNFS.ZS"/>
    <x v="2"/>
    <n v="17.037788306487585"/>
    <s v="United States|Imports of goods and services (% of GDP)|2012"/>
  </r>
  <r>
    <x v="8"/>
    <s v="USA"/>
    <x v="7"/>
    <s v="NE.IMP.GNFS.ZS"/>
    <x v="3"/>
    <n v="16.387814403007273"/>
    <s v="United States|Imports of goods and services (% of GDP)|2013"/>
  </r>
  <r>
    <x v="8"/>
    <s v="USA"/>
    <x v="7"/>
    <s v="NE.IMP.GNFS.ZS"/>
    <x v="4"/>
    <n v="16.3983551242045"/>
    <s v="United States|Imports of goods and services (% of GDP)|2014"/>
  </r>
  <r>
    <x v="8"/>
    <s v="USA"/>
    <x v="7"/>
    <s v="NE.IMP.GNFS.ZS"/>
    <x v="5"/>
    <n v="15.277065303949671"/>
    <s v="United States|Imports of goods and services (% of GDP)|2015"/>
  </r>
  <r>
    <x v="8"/>
    <s v="USA"/>
    <x v="7"/>
    <s v="NE.IMP.GNFS.ZS"/>
    <x v="6"/>
    <n v="14.564438559221198"/>
    <s v="United States|Imports of goods and services (% of GDP)|2016"/>
  </r>
  <r>
    <x v="8"/>
    <s v="USA"/>
    <x v="7"/>
    <s v="NE.IMP.GNFS.ZS"/>
    <x v="7"/>
    <n v="14.947857195521419"/>
    <s v="United States|Imports of goods and services (% of GDP)|2017"/>
  </r>
  <r>
    <x v="8"/>
    <s v="USA"/>
    <x v="7"/>
    <s v="NE.IMP.GNFS.ZS"/>
    <x v="8"/>
    <n v="15.158248370635203"/>
    <s v="United States|Imports of goods and services (% of GDP)|2018"/>
  </r>
  <r>
    <x v="8"/>
    <s v="USA"/>
    <x v="7"/>
    <s v="NE.IMP.GNFS.ZS"/>
    <x v="9"/>
    <n v="14.469283214814199"/>
    <s v="United States|Imports of goods and services (% of GDP)|2019"/>
  </r>
  <r>
    <x v="8"/>
    <s v="USA"/>
    <x v="7"/>
    <s v="NE.IMP.GNFS.ZS"/>
    <x v="10"/>
    <n v="13.016862795862192"/>
    <s v="United States|Imports of goods and services (% of GDP)|2020"/>
  </r>
  <r>
    <x v="8"/>
    <s v="USA"/>
    <x v="7"/>
    <s v="NE.IMP.GNFS.ZS"/>
    <x v="11"/>
    <n v="14.406057243122369"/>
    <s v="United States|Imports of goods and services (% of GDP)|2021"/>
  </r>
  <r>
    <x v="8"/>
    <s v="USA"/>
    <x v="7"/>
    <s v="NE.IMP.GNFS.ZS"/>
    <x v="12"/>
    <n v="15.253801111772372"/>
    <s v="United States|Imports of goods and services (% of GDP)|2022"/>
  </r>
  <r>
    <x v="8"/>
    <s v="USA"/>
    <x v="7"/>
    <s v="NE.IMP.GNFS.ZS"/>
    <x v="13"/>
    <n v="13.878624456192016"/>
    <s v="United States|Imports of goods and services (% of GDP)|2023"/>
  </r>
  <r>
    <x v="8"/>
    <s v="USA"/>
    <x v="7"/>
    <s v="NE.IMP.GNFS.ZS"/>
    <x v="14"/>
    <n v="14.041320822678315"/>
    <s v="United States|Imports of goods and services (% of GDP)|2024"/>
  </r>
  <r>
    <x v="8"/>
    <s v="USA"/>
    <x v="7"/>
    <s v="NE.IMP.GNFS.ZS"/>
    <x v="15"/>
    <m/>
    <s v="United States|Imports of goods and services (% of GDP)|2025"/>
  </r>
  <r>
    <x v="8"/>
    <s v="USA"/>
    <x v="8"/>
    <s v="BX.KLT.DINV.CD.WD"/>
    <x v="0"/>
    <n v="264039000000"/>
    <s v="United States|Foreign direct investment, net inflows (BoP, current US$)|2010"/>
  </r>
  <r>
    <x v="8"/>
    <s v="USA"/>
    <x v="8"/>
    <s v="BX.KLT.DINV.CD.WD"/>
    <x v="1"/>
    <n v="263497000000"/>
    <s v="United States|Foreign direct investment, net inflows (BoP, current US$)|2011"/>
  </r>
  <r>
    <x v="8"/>
    <s v="USA"/>
    <x v="8"/>
    <s v="BX.KLT.DINV.CD.WD"/>
    <x v="2"/>
    <n v="250345000000"/>
    <s v="United States|Foreign direct investment, net inflows (BoP, current US$)|2012"/>
  </r>
  <r>
    <x v="8"/>
    <s v="USA"/>
    <x v="8"/>
    <s v="BX.KLT.DINV.CD.WD"/>
    <x v="3"/>
    <n v="288131000000"/>
    <s v="United States|Foreign direct investment, net inflows (BoP, current US$)|2013"/>
  </r>
  <r>
    <x v="8"/>
    <s v="USA"/>
    <x v="8"/>
    <s v="BX.KLT.DINV.CD.WD"/>
    <x v="4"/>
    <n v="251856000000"/>
    <s v="United States|Foreign direct investment, net inflows (BoP, current US$)|2014"/>
  </r>
  <r>
    <x v="8"/>
    <s v="USA"/>
    <x v="8"/>
    <s v="BX.KLT.DINV.CD.WD"/>
    <x v="5"/>
    <n v="511434000000"/>
    <s v="United States|Foreign direct investment, net inflows (BoP, current US$)|2015"/>
  </r>
  <r>
    <x v="8"/>
    <s v="USA"/>
    <x v="8"/>
    <s v="BX.KLT.DINV.CD.WD"/>
    <x v="6"/>
    <n v="474388000000"/>
    <s v="United States|Foreign direct investment, net inflows (BoP, current US$)|2016"/>
  </r>
  <r>
    <x v="8"/>
    <s v="USA"/>
    <x v="8"/>
    <s v="BX.KLT.DINV.CD.WD"/>
    <x v="7"/>
    <n v="380823000000"/>
    <s v="United States|Foreign direct investment, net inflows (BoP, current US$)|2017"/>
  </r>
  <r>
    <x v="8"/>
    <s v="USA"/>
    <x v="8"/>
    <s v="BX.KLT.DINV.CD.WD"/>
    <x v="8"/>
    <n v="214715000000"/>
    <s v="United States|Foreign direct investment, net inflows (BoP, current US$)|2018"/>
  </r>
  <r>
    <x v="8"/>
    <s v="USA"/>
    <x v="8"/>
    <s v="BX.KLT.DINV.CD.WD"/>
    <x v="9"/>
    <n v="315984000000"/>
    <s v="United States|Foreign direct investment, net inflows (BoP, current US$)|2019"/>
  </r>
  <r>
    <x v="8"/>
    <s v="USA"/>
    <x v="8"/>
    <s v="BX.KLT.DINV.CD.WD"/>
    <x v="10"/>
    <n v="137066000000"/>
    <s v="United States|Foreign direct investment, net inflows (BoP, current US$)|2020"/>
  </r>
  <r>
    <x v="8"/>
    <s v="USA"/>
    <x v="8"/>
    <s v="BX.KLT.DINV.CD.WD"/>
    <x v="11"/>
    <n v="477956000000"/>
    <s v="United States|Foreign direct investment, net inflows (BoP, current US$)|2021"/>
  </r>
  <r>
    <x v="8"/>
    <s v="USA"/>
    <x v="8"/>
    <s v="BX.KLT.DINV.CD.WD"/>
    <x v="12"/>
    <n v="416890000000"/>
    <s v="United States|Foreign direct investment, net inflows (BoP, current US$)|2022"/>
  </r>
  <r>
    <x v="8"/>
    <s v="USA"/>
    <x v="8"/>
    <s v="BX.KLT.DINV.CD.WD"/>
    <x v="13"/>
    <n v="361944000000"/>
    <s v="United States|Foreign direct investment, net inflows (BoP, current US$)|2023"/>
  </r>
  <r>
    <x v="8"/>
    <s v="USA"/>
    <x v="8"/>
    <s v="BX.KLT.DINV.CD.WD"/>
    <x v="14"/>
    <n v="297058000000"/>
    <s v="United States|Foreign direct investment, net inflows (BoP, current US$)|2024"/>
  </r>
  <r>
    <x v="8"/>
    <s v="USA"/>
    <x v="8"/>
    <s v="BX.KLT.DINV.CD.WD"/>
    <x v="15"/>
    <n v="400519000000"/>
    <s v="United States|Foreign direct investment, net inflows (BoP, current US$)|2025"/>
  </r>
  <r>
    <x v="8"/>
    <s v="USA"/>
    <x v="9"/>
    <s v="SP.POP.TOTL"/>
    <x v="0"/>
    <n v="309378227"/>
    <s v="United States|Population, total|2010"/>
  </r>
  <r>
    <x v="8"/>
    <s v="USA"/>
    <x v="9"/>
    <s v="SP.POP.TOTL"/>
    <x v="1"/>
    <n v="311839461"/>
    <s v="United States|Population, total|2011"/>
  </r>
  <r>
    <x v="8"/>
    <s v="USA"/>
    <x v="9"/>
    <s v="SP.POP.TOTL"/>
    <x v="2"/>
    <n v="314339099"/>
    <s v="United States|Population, total|2012"/>
  </r>
  <r>
    <x v="8"/>
    <s v="USA"/>
    <x v="9"/>
    <s v="SP.POP.TOTL"/>
    <x v="3"/>
    <n v="316726282"/>
    <s v="United States|Population, total|2013"/>
  </r>
  <r>
    <x v="8"/>
    <s v="USA"/>
    <x v="9"/>
    <s v="SP.POP.TOTL"/>
    <x v="4"/>
    <n v="319257560"/>
    <s v="United States|Population, total|2014"/>
  </r>
  <r>
    <x v="8"/>
    <s v="USA"/>
    <x v="9"/>
    <s v="SP.POP.TOTL"/>
    <x v="5"/>
    <n v="321815121"/>
    <s v="United States|Population, total|2015"/>
  </r>
  <r>
    <x v="8"/>
    <s v="USA"/>
    <x v="9"/>
    <s v="SP.POP.TOTL"/>
    <x v="6"/>
    <n v="324353340"/>
    <s v="United States|Population, total|2016"/>
  </r>
  <r>
    <x v="8"/>
    <s v="USA"/>
    <x v="9"/>
    <s v="SP.POP.TOTL"/>
    <x v="7"/>
    <n v="326608609"/>
    <s v="United States|Population, total|2017"/>
  </r>
  <r>
    <x v="8"/>
    <s v="USA"/>
    <x v="9"/>
    <s v="SP.POP.TOTL"/>
    <x v="8"/>
    <n v="328529577"/>
    <s v="United States|Population, total|2018"/>
  </r>
  <r>
    <x v="8"/>
    <s v="USA"/>
    <x v="9"/>
    <s v="SP.POP.TOTL"/>
    <x v="9"/>
    <n v="330226227"/>
    <s v="United States|Population, total|2019"/>
  </r>
  <r>
    <x v="8"/>
    <s v="USA"/>
    <x v="9"/>
    <s v="SP.POP.TOTL"/>
    <x v="10"/>
    <n v="331578104"/>
    <s v="United States|Population, total|2020"/>
  </r>
  <r>
    <x v="8"/>
    <s v="USA"/>
    <x v="9"/>
    <s v="SP.POP.TOTL"/>
    <x v="11"/>
    <n v="332100166"/>
    <s v="United States|Population, total|2021"/>
  </r>
  <r>
    <x v="8"/>
    <s v="USA"/>
    <x v="9"/>
    <s v="SP.POP.TOTL"/>
    <x v="12"/>
    <n v="333996304"/>
    <s v="United States|Population, total|2022"/>
  </r>
  <r>
    <x v="8"/>
    <s v="USA"/>
    <x v="9"/>
    <s v="SP.POP.TOTL"/>
    <x v="13"/>
    <n v="336755052"/>
    <s v="United States|Population, total|2023"/>
  </r>
  <r>
    <x v="8"/>
    <s v="USA"/>
    <x v="9"/>
    <s v="SP.POP.TOTL"/>
    <x v="14"/>
    <n v="340003797"/>
    <s v="United States|Population, total|2024"/>
  </r>
  <r>
    <x v="8"/>
    <s v="USA"/>
    <x v="9"/>
    <s v="SP.POP.TOTL"/>
    <x v="15"/>
    <n v="341784857"/>
    <s v="United States|Population, total|2025"/>
  </r>
  <r>
    <x v="9"/>
    <s v="AUS"/>
    <x v="0"/>
    <s v="NY.GDP.MKTP.CD"/>
    <x v="0"/>
    <n v="1152566632022.1255"/>
    <s v="Australia|GDP (current US$)|2010"/>
  </r>
  <r>
    <x v="9"/>
    <s v="AUS"/>
    <x v="0"/>
    <s v="NY.GDP.MKTP.CD"/>
    <x v="1"/>
    <n v="1402939868653.3967"/>
    <s v="Australia|GDP (current US$)|2011"/>
  </r>
  <r>
    <x v="9"/>
    <s v="AUS"/>
    <x v="0"/>
    <s v="NY.GDP.MKTP.CD"/>
    <x v="2"/>
    <n v="1552728401401.5811"/>
    <s v="Australia|GDP (current US$)|2012"/>
  </r>
  <r>
    <x v="9"/>
    <s v="AUS"/>
    <x v="0"/>
    <s v="NY.GDP.MKTP.CD"/>
    <x v="3"/>
    <n v="1583737461925.3928"/>
    <s v="Australia|GDP (current US$)|2013"/>
  </r>
  <r>
    <x v="9"/>
    <s v="AUS"/>
    <x v="0"/>
    <s v="NY.GDP.MKTP.CD"/>
    <x v="4"/>
    <n v="1474677007565.6382"/>
    <s v="Australia|GDP (current US$)|2014"/>
  </r>
  <r>
    <x v="9"/>
    <s v="AUS"/>
    <x v="0"/>
    <s v="NY.GDP.MKTP.CD"/>
    <x v="5"/>
    <n v="1356805839935.9031"/>
    <s v="Australia|GDP (current US$)|2015"/>
  </r>
  <r>
    <x v="9"/>
    <s v="AUS"/>
    <x v="0"/>
    <s v="NY.GDP.MKTP.CD"/>
    <x v="6"/>
    <n v="1211588128417.6074"/>
    <s v="Australia|GDP (current US$)|2016"/>
  </r>
  <r>
    <x v="9"/>
    <s v="AUS"/>
    <x v="0"/>
    <s v="NY.GDP.MKTP.CD"/>
    <x v="7"/>
    <n v="1330890554614.0916"/>
    <s v="Australia|GDP (current US$)|2017"/>
  </r>
  <r>
    <x v="9"/>
    <s v="AUS"/>
    <x v="0"/>
    <s v="NY.GDP.MKTP.CD"/>
    <x v="8"/>
    <n v="1433144978761.6658"/>
    <s v="Australia|GDP (current US$)|2018"/>
  </r>
  <r>
    <x v="9"/>
    <s v="AUS"/>
    <x v="0"/>
    <s v="NY.GDP.MKTP.CD"/>
    <x v="9"/>
    <n v="1398349602956.3535"/>
    <s v="Australia|GDP (current US$)|2019"/>
  </r>
  <r>
    <x v="9"/>
    <s v="AUS"/>
    <x v="0"/>
    <s v="NY.GDP.MKTP.CD"/>
    <x v="10"/>
    <n v="1333336461648.0901"/>
    <s v="Australia|GDP (current US$)|2020"/>
  </r>
  <r>
    <x v="9"/>
    <s v="AUS"/>
    <x v="0"/>
    <s v="NY.GDP.MKTP.CD"/>
    <x v="11"/>
    <n v="1560617493202.6936"/>
    <s v="Australia|GDP (current US$)|2021"/>
  </r>
  <r>
    <x v="9"/>
    <s v="AUS"/>
    <x v="0"/>
    <s v="NY.GDP.MKTP.CD"/>
    <x v="12"/>
    <n v="1695627535475.8005"/>
    <s v="Australia|GDP (current US$)|2022"/>
  </r>
  <r>
    <x v="9"/>
    <s v="AUS"/>
    <x v="0"/>
    <s v="NY.GDP.MKTP.CD"/>
    <x v="13"/>
    <n v="1734451264655.6016"/>
    <s v="Australia|GDP (current US$)|2023"/>
  </r>
  <r>
    <x v="9"/>
    <s v="AUS"/>
    <x v="0"/>
    <s v="NY.GDP.MKTP.CD"/>
    <x v="14"/>
    <n v="1757022451652.8313"/>
    <s v="Australia|GDP (current US$)|2024"/>
  </r>
  <r>
    <x v="9"/>
    <s v="AUS"/>
    <x v="0"/>
    <s v="NY.GDP.MKTP.CD"/>
    <x v="15"/>
    <n v="1798518933689.2104"/>
    <s v="Australia|GDP (current US$)|2025"/>
  </r>
  <r>
    <x v="9"/>
    <s v="AUS"/>
    <x v="1"/>
    <s v="NY.GDP.MKTP.KD.ZG"/>
    <x v="0"/>
    <n v="2.2100479530073471"/>
    <s v="Australia|GDP growth (annual %)|2010"/>
  </r>
  <r>
    <x v="9"/>
    <s v="AUS"/>
    <x v="1"/>
    <s v="NY.GDP.MKTP.KD.ZG"/>
    <x v="1"/>
    <n v="2.3947349433061476"/>
    <s v="Australia|GDP growth (annual %)|2011"/>
  </r>
  <r>
    <x v="9"/>
    <s v="AUS"/>
    <x v="1"/>
    <s v="NY.GDP.MKTP.KD.ZG"/>
    <x v="2"/>
    <n v="3.9524713811918417"/>
    <s v="Australia|GDP growth (annual %)|2012"/>
  </r>
  <r>
    <x v="9"/>
    <s v="AUS"/>
    <x v="1"/>
    <s v="NY.GDP.MKTP.KD.ZG"/>
    <x v="3"/>
    <n v="2.6544530259240418"/>
    <s v="Australia|GDP growth (annual %)|2013"/>
  </r>
  <r>
    <x v="9"/>
    <s v="AUS"/>
    <x v="1"/>
    <s v="NY.GDP.MKTP.KD.ZG"/>
    <x v="4"/>
    <n v="2.6011897818733161"/>
    <s v="Australia|GDP growth (annual %)|2014"/>
  </r>
  <r>
    <x v="9"/>
    <s v="AUS"/>
    <x v="1"/>
    <s v="NY.GDP.MKTP.KD.ZG"/>
    <x v="5"/>
    <n v="2.1643478064785171"/>
    <s v="Australia|GDP growth (annual %)|2015"/>
  </r>
  <r>
    <x v="9"/>
    <s v="AUS"/>
    <x v="1"/>
    <s v="NY.GDP.MKTP.KD.ZG"/>
    <x v="6"/>
    <n v="2.7556406552986772"/>
    <s v="Australia|GDP growth (annual %)|2016"/>
  </r>
  <r>
    <x v="9"/>
    <s v="AUS"/>
    <x v="1"/>
    <s v="NY.GDP.MKTP.KD.ZG"/>
    <x v="7"/>
    <n v="2.2933103019291821"/>
    <s v="Australia|GDP growth (annual %)|2017"/>
  </r>
  <r>
    <x v="9"/>
    <s v="AUS"/>
    <x v="1"/>
    <s v="NY.GDP.MKTP.KD.ZG"/>
    <x v="8"/>
    <n v="2.874170394995005"/>
    <s v="Australia|GDP growth (annual %)|2018"/>
  </r>
  <r>
    <x v="9"/>
    <s v="AUS"/>
    <x v="1"/>
    <s v="NY.GDP.MKTP.KD.ZG"/>
    <x v="9"/>
    <n v="2.1940170362271658"/>
    <s v="Australia|GDP growth (annual %)|2019"/>
  </r>
  <r>
    <x v="9"/>
    <s v="AUS"/>
    <x v="1"/>
    <s v="NY.GDP.MKTP.KD.ZG"/>
    <x v="10"/>
    <n v="-0.13353190430477468"/>
    <s v="Australia|GDP growth (annual %)|2020"/>
  </r>
  <r>
    <x v="9"/>
    <s v="AUS"/>
    <x v="1"/>
    <s v="NY.GDP.MKTP.KD.ZG"/>
    <x v="11"/>
    <n v="2.0069484433503391"/>
    <s v="Australia|GDP growth (annual %)|2021"/>
  </r>
  <r>
    <x v="9"/>
    <s v="AUS"/>
    <x v="1"/>
    <s v="NY.GDP.MKTP.KD.ZG"/>
    <x v="12"/>
    <n v="4.2530455923873234"/>
    <s v="Australia|GDP growth (annual %)|2022"/>
  </r>
  <r>
    <x v="9"/>
    <s v="AUS"/>
    <x v="1"/>
    <s v="NY.GDP.MKTP.KD.ZG"/>
    <x v="13"/>
    <n v="3.5838210079898118"/>
    <s v="Australia|GDP growth (annual %)|2023"/>
  </r>
  <r>
    <x v="9"/>
    <s v="AUS"/>
    <x v="1"/>
    <s v="NY.GDP.MKTP.KD.ZG"/>
    <x v="14"/>
    <n v="1.3734077336597466"/>
    <s v="Australia|GDP growth (annual %)|2024"/>
  </r>
  <r>
    <x v="9"/>
    <s v="AUS"/>
    <x v="1"/>
    <s v="NY.GDP.MKTP.KD.ZG"/>
    <x v="15"/>
    <n v="1.3503978507663135"/>
    <s v="Australia|GDP growth (annual %)|2025"/>
  </r>
  <r>
    <x v="9"/>
    <s v="AUS"/>
    <x v="2"/>
    <s v="FP.CPI.TOTL.ZG"/>
    <x v="0"/>
    <n v="2.9183370211222002"/>
    <s v="Australia|Inflation, consumer prices (annual %)|2010"/>
  </r>
  <r>
    <x v="9"/>
    <s v="AUS"/>
    <x v="2"/>
    <s v="FP.CPI.TOTL.ZG"/>
    <x v="1"/>
    <n v="3.3038478468108101"/>
    <s v="Australia|Inflation, consumer prices (annual %)|2011"/>
  </r>
  <r>
    <x v="9"/>
    <s v="AUS"/>
    <x v="2"/>
    <s v="FP.CPI.TOTL.ZG"/>
    <x v="2"/>
    <n v="1.76278299052228"/>
    <s v="Australia|Inflation, consumer prices (annual %)|2012"/>
  </r>
  <r>
    <x v="9"/>
    <s v="AUS"/>
    <x v="2"/>
    <s v="FP.CPI.TOTL.ZG"/>
    <x v="3"/>
    <n v="2.4498824810925899"/>
    <s v="Australia|Inflation, consumer prices (annual %)|2013"/>
  </r>
  <r>
    <x v="9"/>
    <s v="AUS"/>
    <x v="2"/>
    <s v="FP.CPI.TOTL.ZG"/>
    <x v="4"/>
    <n v="2.4879293208049198"/>
    <s v="Australia|Inflation, consumer prices (annual %)|2014"/>
  </r>
  <r>
    <x v="9"/>
    <s v="AUS"/>
    <x v="2"/>
    <s v="FP.CPI.TOTL.ZG"/>
    <x v="5"/>
    <n v="1.5083680313846299"/>
    <s v="Australia|Inflation, consumer prices (annual %)|2015"/>
  </r>
  <r>
    <x v="9"/>
    <s v="AUS"/>
    <x v="2"/>
    <s v="FP.CPI.TOTL.ZG"/>
    <x v="6"/>
    <n v="1.27699365720306"/>
    <s v="Australia|Inflation, consumer prices (annual %)|2016"/>
  </r>
  <r>
    <x v="9"/>
    <s v="AUS"/>
    <x v="2"/>
    <s v="FP.CPI.TOTL.ZG"/>
    <x v="7"/>
    <n v="1.94864309065653"/>
    <s v="Australia|Inflation, consumer prices (annual %)|2017"/>
  </r>
  <r>
    <x v="9"/>
    <s v="AUS"/>
    <x v="2"/>
    <s v="FP.CPI.TOTL.ZG"/>
    <x v="8"/>
    <n v="1.9114000281857899"/>
    <s v="Australia|Inflation, consumer prices (annual %)|2018"/>
  </r>
  <r>
    <x v="9"/>
    <s v="AUS"/>
    <x v="2"/>
    <s v="FP.CPI.TOTL.ZG"/>
    <x v="9"/>
    <n v="1.610770929127"/>
    <s v="Australia|Inflation, consumer prices (annual %)|2019"/>
  </r>
  <r>
    <x v="9"/>
    <s v="AUS"/>
    <x v="2"/>
    <s v="FP.CPI.TOTL.ZG"/>
    <x v="10"/>
    <n v="0.846900734607273"/>
    <s v="Australia|Inflation, consumer prices (annual %)|2020"/>
  </r>
  <r>
    <x v="9"/>
    <s v="AUS"/>
    <x v="2"/>
    <s v="FP.CPI.TOTL.ZG"/>
    <x v="11"/>
    <n v="2.8639128470931801"/>
    <s v="Australia|Inflation, consumer prices (annual %)|2021"/>
  </r>
  <r>
    <x v="9"/>
    <s v="AUS"/>
    <x v="2"/>
    <s v="FP.CPI.TOTL.ZG"/>
    <x v="12"/>
    <n v="6.5940965871784103"/>
    <s v="Australia|Inflation, consumer prices (annual %)|2022"/>
  </r>
  <r>
    <x v="9"/>
    <s v="AUS"/>
    <x v="2"/>
    <s v="FP.CPI.TOTL.ZG"/>
    <x v="13"/>
    <n v="5.59701792296707"/>
    <s v="Australia|Inflation, consumer prices (annual %)|2023"/>
  </r>
  <r>
    <x v="9"/>
    <s v="AUS"/>
    <x v="2"/>
    <s v="FP.CPI.TOTL.ZG"/>
    <x v="14"/>
    <n v="3.16656665428797"/>
    <s v="Australia|Inflation, consumer prices (annual %)|2024"/>
  </r>
  <r>
    <x v="9"/>
    <s v="AUS"/>
    <x v="2"/>
    <s v="FP.CPI.TOTL.ZG"/>
    <x v="15"/>
    <n v="2.87403791660173"/>
    <s v="Australia|Inflation, consumer prices (annual %)|2025"/>
  </r>
  <r>
    <x v="9"/>
    <s v="AUS"/>
    <x v="3"/>
    <s v="SL.UEM.TOTL.ZS"/>
    <x v="0"/>
    <n v="5.2140000000000004"/>
    <s v="Australia|Unemployment, total (% of total labor force) (modeled ILO estimate)|2010"/>
  </r>
  <r>
    <x v="9"/>
    <s v="AUS"/>
    <x v="3"/>
    <s v="SL.UEM.TOTL.ZS"/>
    <x v="1"/>
    <n v="5.0830000000000002"/>
    <s v="Australia|Unemployment, total (% of total labor force) (modeled ILO estimate)|2011"/>
  </r>
  <r>
    <x v="9"/>
    <s v="AUS"/>
    <x v="3"/>
    <s v="SL.UEM.TOTL.ZS"/>
    <x v="2"/>
    <n v="5.2249999999999996"/>
    <s v="Australia|Unemployment, total (% of total labor force) (modeled ILO estimate)|2012"/>
  </r>
  <r>
    <x v="9"/>
    <s v="AUS"/>
    <x v="3"/>
    <s v="SL.UEM.TOTL.ZS"/>
    <x v="3"/>
    <n v="5.6630000000000003"/>
    <s v="Australia|Unemployment, total (% of total labor force) (modeled ILO estimate)|2013"/>
  </r>
  <r>
    <x v="9"/>
    <s v="AUS"/>
    <x v="3"/>
    <s v="SL.UEM.TOTL.ZS"/>
    <x v="4"/>
    <n v="6.0780000000000003"/>
    <s v="Australia|Unemployment, total (% of total labor force) (modeled ILO estimate)|2014"/>
  </r>
  <r>
    <x v="9"/>
    <s v="AUS"/>
    <x v="3"/>
    <s v="SL.UEM.TOTL.ZS"/>
    <x v="5"/>
    <n v="6.0549999999999997"/>
    <s v="Australia|Unemployment, total (% of total labor force) (modeled ILO estimate)|2015"/>
  </r>
  <r>
    <x v="9"/>
    <s v="AUS"/>
    <x v="3"/>
    <s v="SL.UEM.TOTL.ZS"/>
    <x v="6"/>
    <n v="5.7110000000000003"/>
    <s v="Australia|Unemployment, total (% of total labor force) (modeled ILO estimate)|2016"/>
  </r>
  <r>
    <x v="9"/>
    <s v="AUS"/>
    <x v="3"/>
    <s v="SL.UEM.TOTL.ZS"/>
    <x v="7"/>
    <n v="5.5919999999999996"/>
    <s v="Australia|Unemployment, total (% of total labor force) (modeled ILO estimate)|2017"/>
  </r>
  <r>
    <x v="9"/>
    <s v="AUS"/>
    <x v="3"/>
    <s v="SL.UEM.TOTL.ZS"/>
    <x v="8"/>
    <n v="5.3449999999999998"/>
    <s v="Australia|Unemployment, total (% of total labor force) (modeled ILO estimate)|2018"/>
  </r>
  <r>
    <x v="9"/>
    <s v="AUS"/>
    <x v="3"/>
    <s v="SL.UEM.TOTL.ZS"/>
    <x v="9"/>
    <n v="5.1429999999999998"/>
    <s v="Australia|Unemployment, total (% of total labor force) (modeled ILO estimate)|2019"/>
  </r>
  <r>
    <x v="9"/>
    <s v="AUS"/>
    <x v="3"/>
    <s v="SL.UEM.TOTL.ZS"/>
    <x v="10"/>
    <n v="6.3940000000000001"/>
    <s v="Australia|Unemployment, total (% of total labor force) (modeled ILO estimate)|2020"/>
  </r>
  <r>
    <x v="9"/>
    <s v="AUS"/>
    <x v="3"/>
    <s v="SL.UEM.TOTL.ZS"/>
    <x v="11"/>
    <n v="5.0220000000000002"/>
    <s v="Australia|Unemployment, total (% of total labor force) (modeled ILO estimate)|2021"/>
  </r>
  <r>
    <x v="9"/>
    <s v="AUS"/>
    <x v="3"/>
    <s v="SL.UEM.TOTL.ZS"/>
    <x v="12"/>
    <n v="3.7280000000000002"/>
    <s v="Australia|Unemployment, total (% of total labor force) (modeled ILO estimate)|2022"/>
  </r>
  <r>
    <x v="9"/>
    <s v="AUS"/>
    <x v="3"/>
    <s v="SL.UEM.TOTL.ZS"/>
    <x v="13"/>
    <n v="3.6680000000000001"/>
    <s v="Australia|Unemployment, total (% of total labor force) (modeled ILO estimate)|2023"/>
  </r>
  <r>
    <x v="9"/>
    <s v="AUS"/>
    <x v="3"/>
    <s v="SL.UEM.TOTL.ZS"/>
    <x v="14"/>
    <n v="3.9420000000000002"/>
    <s v="Australia|Unemployment, total (% of total labor force) (modeled ILO estimate)|2024"/>
  </r>
  <r>
    <x v="9"/>
    <s v="AUS"/>
    <x v="3"/>
    <s v="SL.UEM.TOTL.ZS"/>
    <x v="15"/>
    <n v="4.09"/>
    <s v="Australia|Unemployment, total (% of total labor force) (modeled ILO estimate)|2025"/>
  </r>
  <r>
    <x v="9"/>
    <s v="AUS"/>
    <x v="4"/>
    <s v="FR.INR.LEND"/>
    <x v="0"/>
    <n v="7.2791666666666677"/>
    <s v="Australia|Lending interest rate (%)|2010"/>
  </r>
  <r>
    <x v="9"/>
    <s v="AUS"/>
    <x v="4"/>
    <s v="FR.INR.LEND"/>
    <x v="1"/>
    <n v="7.7374999999999998"/>
    <s v="Australia|Lending interest rate (%)|2011"/>
  </r>
  <r>
    <x v="9"/>
    <s v="AUS"/>
    <x v="4"/>
    <s v="FR.INR.LEND"/>
    <x v="2"/>
    <n v="6.9749999999999996"/>
    <s v="Australia|Lending interest rate (%)|2012"/>
  </r>
  <r>
    <x v="9"/>
    <s v="AUS"/>
    <x v="4"/>
    <s v="FR.INR.LEND"/>
    <x v="3"/>
    <n v="6.1791666666666654"/>
    <s v="Australia|Lending interest rate (%)|2013"/>
  </r>
  <r>
    <x v="9"/>
    <s v="AUS"/>
    <x v="4"/>
    <s v="FR.INR.LEND"/>
    <x v="4"/>
    <n v="5.95"/>
    <s v="Australia|Lending interest rate (%)|2014"/>
  </r>
  <r>
    <x v="9"/>
    <s v="AUS"/>
    <x v="4"/>
    <s v="FR.INR.LEND"/>
    <x v="5"/>
    <n v="5.5750000000000002"/>
    <s v="Australia|Lending interest rate (%)|2015"/>
  </r>
  <r>
    <x v="9"/>
    <s v="AUS"/>
    <x v="4"/>
    <s v="FR.INR.LEND"/>
    <x v="6"/>
    <n v="5.4208333333333316"/>
    <s v="Australia|Lending interest rate (%)|2016"/>
  </r>
  <r>
    <x v="9"/>
    <s v="AUS"/>
    <x v="4"/>
    <s v="FR.INR.LEND"/>
    <x v="7"/>
    <n v="5.2454999999999998"/>
    <s v="Australia|Lending interest rate (%)|2017"/>
  </r>
  <r>
    <x v="9"/>
    <s v="AUS"/>
    <x v="4"/>
    <s v="FR.INR.LEND"/>
    <x v="8"/>
    <n v="5.2608333333333324"/>
    <s v="Australia|Lending interest rate (%)|2018"/>
  </r>
  <r>
    <x v="9"/>
    <s v="AUS"/>
    <x v="4"/>
    <s v="FR.INR.LEND"/>
    <x v="9"/>
    <n v="5.101"/>
    <s v="Australia|Lending interest rate (%)|2019"/>
  </r>
  <r>
    <x v="9"/>
    <s v="AUS"/>
    <x v="4"/>
    <s v="FR.INR.LEND"/>
    <x v="10"/>
    <m/>
    <s v="Australia|Lending interest rate (%)|2020"/>
  </r>
  <r>
    <x v="9"/>
    <s v="AUS"/>
    <x v="4"/>
    <s v="FR.INR.LEND"/>
    <x v="11"/>
    <m/>
    <s v="Australia|Lending interest rate (%)|2021"/>
  </r>
  <r>
    <x v="9"/>
    <s v="AUS"/>
    <x v="4"/>
    <s v="FR.INR.LEND"/>
    <x v="12"/>
    <m/>
    <s v="Australia|Lending interest rate (%)|2022"/>
  </r>
  <r>
    <x v="9"/>
    <s v="AUS"/>
    <x v="4"/>
    <s v="FR.INR.LEND"/>
    <x v="13"/>
    <m/>
    <s v="Australia|Lending interest rate (%)|2023"/>
  </r>
  <r>
    <x v="9"/>
    <s v="AUS"/>
    <x v="4"/>
    <s v="FR.INR.LEND"/>
    <x v="14"/>
    <m/>
    <s v="Australia|Lending interest rate (%)|2024"/>
  </r>
  <r>
    <x v="9"/>
    <s v="AUS"/>
    <x v="4"/>
    <s v="FR.INR.LEND"/>
    <x v="15"/>
    <m/>
    <s v="Australia|Lending interest rate (%)|2025"/>
  </r>
  <r>
    <x v="9"/>
    <s v="AUS"/>
    <x v="5"/>
    <s v="PA.NUS.FCRF"/>
    <x v="0"/>
    <n v="1.0901594863867721"/>
    <s v="Australia|Official exchange rate (LCU per US$, period average)|2010"/>
  </r>
  <r>
    <x v="9"/>
    <s v="AUS"/>
    <x v="5"/>
    <s v="PA.NUS.FCRF"/>
    <x v="1"/>
    <n v="0.96946320149673515"/>
    <s v="Australia|Official exchange rate (LCU per US$, period average)|2011"/>
  </r>
  <r>
    <x v="9"/>
    <s v="AUS"/>
    <x v="5"/>
    <s v="PA.NUS.FCRF"/>
    <x v="2"/>
    <n v="0.96580103065870782"/>
    <s v="Australia|Official exchange rate (LCU per US$, period average)|2012"/>
  </r>
  <r>
    <x v="9"/>
    <s v="AUS"/>
    <x v="5"/>
    <s v="PA.NUS.FCRF"/>
    <x v="3"/>
    <n v="1.0358430965205381"/>
    <s v="Australia|Official exchange rate (LCU per US$, period average)|2013"/>
  </r>
  <r>
    <x v="9"/>
    <s v="AUS"/>
    <x v="5"/>
    <s v="PA.NUS.FCRF"/>
    <x v="4"/>
    <n v="1.109363292816917"/>
    <s v="Australia|Official exchange rate (LCU per US$, period average)|2014"/>
  </r>
  <r>
    <x v="9"/>
    <s v="AUS"/>
    <x v="5"/>
    <s v="PA.NUS.FCRF"/>
    <x v="5"/>
    <n v="1.331090262455018"/>
    <s v="Australia|Official exchange rate (LCU per US$, period average)|2015"/>
  </r>
  <r>
    <x v="9"/>
    <s v="AUS"/>
    <x v="5"/>
    <s v="PA.NUS.FCRF"/>
    <x v="6"/>
    <n v="1.3452139760194679"/>
    <s v="Australia|Official exchange rate (LCU per US$, period average)|2016"/>
  </r>
  <r>
    <x v="9"/>
    <s v="AUS"/>
    <x v="5"/>
    <s v="PA.NUS.FCRF"/>
    <x v="7"/>
    <n v="1.3047580767159219"/>
    <s v="Australia|Official exchange rate (LCU per US$, period average)|2017"/>
  </r>
  <r>
    <x v="9"/>
    <s v="AUS"/>
    <x v="5"/>
    <s v="PA.NUS.FCRF"/>
    <x v="8"/>
    <n v="1.338412146464508"/>
    <s v="Australia|Official exchange rate (LCU per US$, period average)|2018"/>
  </r>
  <r>
    <x v="9"/>
    <s v="AUS"/>
    <x v="5"/>
    <s v="PA.NUS.FCRF"/>
    <x v="9"/>
    <n v="1.4385065442138181"/>
    <s v="Australia|Official exchange rate (LCU per US$, period average)|2019"/>
  </r>
  <r>
    <x v="9"/>
    <s v="AUS"/>
    <x v="5"/>
    <s v="PA.NUS.FCRF"/>
    <x v="10"/>
    <n v="1.4530851184701601"/>
    <s v="Australia|Official exchange rate (LCU per US$, period average)|2020"/>
  </r>
  <r>
    <x v="9"/>
    <s v="AUS"/>
    <x v="5"/>
    <s v="PA.NUS.FCRF"/>
    <x v="11"/>
    <n v="1.331224259570809"/>
    <s v="Australia|Official exchange rate (LCU per US$, period average)|2021"/>
  </r>
  <r>
    <x v="9"/>
    <s v="AUS"/>
    <x v="5"/>
    <s v="PA.NUS.FCRF"/>
    <x v="12"/>
    <n v="1.441664458965217"/>
    <s v="Australia|Official exchange rate (LCU per US$, period average)|2022"/>
  </r>
  <r>
    <x v="9"/>
    <s v="AUS"/>
    <x v="5"/>
    <s v="PA.NUS.FCRF"/>
    <x v="13"/>
    <n v="1.5051910656050851"/>
    <s v="Australia|Official exchange rate (LCU per US$, period average)|2023"/>
  </r>
  <r>
    <x v="9"/>
    <s v="AUS"/>
    <x v="5"/>
    <s v="PA.NUS.FCRF"/>
    <x v="14"/>
    <n v="1.51535803855596"/>
    <s v="Australia|Official exchange rate (LCU per US$, period average)|2024"/>
  </r>
  <r>
    <x v="9"/>
    <s v="AUS"/>
    <x v="5"/>
    <s v="PA.NUS.FCRF"/>
    <x v="15"/>
    <n v="1.5519978866485049"/>
    <s v="Australia|Official exchange rate (LCU per US$, period average)|2025"/>
  </r>
  <r>
    <x v="9"/>
    <s v="AUS"/>
    <x v="6"/>
    <s v="NE.EXP.GNFS.ZS"/>
    <x v="0"/>
    <n v="19.732223712415603"/>
    <s v="Australia|Exports of goods and services (% of GDP)|2010"/>
  </r>
  <r>
    <x v="9"/>
    <s v="AUS"/>
    <x v="6"/>
    <s v="NE.EXP.GNFS.ZS"/>
    <x v="1"/>
    <n v="21.3710952598475"/>
    <s v="Australia|Exports of goods and services (% of GDP)|2011"/>
  </r>
  <r>
    <x v="9"/>
    <s v="AUS"/>
    <x v="6"/>
    <s v="NE.EXP.GNFS.ZS"/>
    <x v="2"/>
    <n v="21.421233024544804"/>
    <s v="Australia|Exports of goods and services (% of GDP)|2012"/>
  </r>
  <r>
    <x v="9"/>
    <s v="AUS"/>
    <x v="6"/>
    <s v="NE.EXP.GNFS.ZS"/>
    <x v="3"/>
    <n v="19.893141104787272"/>
    <s v="Australia|Exports of goods and services (% of GDP)|2013"/>
  </r>
  <r>
    <x v="9"/>
    <s v="AUS"/>
    <x v="6"/>
    <s v="NE.EXP.GNFS.ZS"/>
    <x v="4"/>
    <n v="20.995917991280674"/>
    <s v="Australia|Exports of goods and services (% of GDP)|2014"/>
  </r>
  <r>
    <x v="9"/>
    <s v="AUS"/>
    <x v="6"/>
    <s v="NE.EXP.GNFS.ZS"/>
    <x v="5"/>
    <n v="19.984645450325516"/>
    <s v="Australia|Exports of goods and services (% of GDP)|2015"/>
  </r>
  <r>
    <x v="9"/>
    <s v="AUS"/>
    <x v="6"/>
    <s v="NE.EXP.GNFS.ZS"/>
    <x v="6"/>
    <n v="19.20314387833513"/>
    <s v="Australia|Exports of goods and services (% of GDP)|2016"/>
  </r>
  <r>
    <x v="9"/>
    <s v="AUS"/>
    <x v="6"/>
    <s v="NE.EXP.GNFS.ZS"/>
    <x v="7"/>
    <n v="21.171841221107581"/>
    <s v="Australia|Exports of goods and services (% of GDP)|2017"/>
  </r>
  <r>
    <x v="9"/>
    <s v="AUS"/>
    <x v="6"/>
    <s v="NE.EXP.GNFS.ZS"/>
    <x v="8"/>
    <n v="21.81257365750659"/>
    <s v="Australia|Exports of goods and services (% of GDP)|2018"/>
  </r>
  <r>
    <x v="9"/>
    <s v="AUS"/>
    <x v="6"/>
    <s v="NE.EXP.GNFS.ZS"/>
    <x v="9"/>
    <n v="24.062480021072176"/>
    <s v="Australia|Exports of goods and services (% of GDP)|2019"/>
  </r>
  <r>
    <x v="9"/>
    <s v="AUS"/>
    <x v="6"/>
    <s v="NE.EXP.GNFS.ZS"/>
    <x v="10"/>
    <n v="23.938037391541304"/>
    <s v="Australia|Exports of goods and services (% of GDP)|2020"/>
  </r>
  <r>
    <x v="9"/>
    <s v="AUS"/>
    <x v="6"/>
    <s v="NE.EXP.GNFS.ZS"/>
    <x v="11"/>
    <n v="22.001814422892526"/>
    <s v="Australia|Exports of goods and services (% of GDP)|2021"/>
  </r>
  <r>
    <x v="9"/>
    <s v="AUS"/>
    <x v="6"/>
    <s v="NE.EXP.GNFS.ZS"/>
    <x v="12"/>
    <n v="25.46152983736588"/>
    <s v="Australia|Exports of goods and services (% of GDP)|2022"/>
  </r>
  <r>
    <x v="9"/>
    <s v="AUS"/>
    <x v="6"/>
    <s v="NE.EXP.GNFS.ZS"/>
    <x v="13"/>
    <n v="26.701068252275018"/>
    <s v="Australia|Exports of goods and services (% of GDP)|2023"/>
  </r>
  <r>
    <x v="9"/>
    <s v="AUS"/>
    <x v="6"/>
    <s v="NE.EXP.GNFS.ZS"/>
    <x v="14"/>
    <n v="24.621524052947265"/>
    <s v="Australia|Exports of goods and services (% of GDP)|2024"/>
  </r>
  <r>
    <x v="9"/>
    <s v="AUS"/>
    <x v="6"/>
    <s v="NE.EXP.GNFS.ZS"/>
    <x v="15"/>
    <n v="23.244438350899653"/>
    <s v="Australia|Exports of goods and services (% of GDP)|2025"/>
  </r>
  <r>
    <x v="9"/>
    <s v="AUS"/>
    <x v="7"/>
    <s v="NE.IMP.GNFS.ZS"/>
    <x v="0"/>
    <n v="20.658283373644977"/>
    <s v="Australia|Imports of goods and services (% of GDP)|2010"/>
  </r>
  <r>
    <x v="9"/>
    <s v="AUS"/>
    <x v="7"/>
    <s v="NE.IMP.GNFS.ZS"/>
    <x v="1"/>
    <n v="20.350890755121405"/>
    <s v="Australia|Imports of goods and services (% of GDP)|2011"/>
  </r>
  <r>
    <x v="9"/>
    <s v="AUS"/>
    <x v="7"/>
    <s v="NE.IMP.GNFS.ZS"/>
    <x v="2"/>
    <n v="21.598616528211018"/>
    <s v="Australia|Imports of goods and services (% of GDP)|2012"/>
  </r>
  <r>
    <x v="9"/>
    <s v="AUS"/>
    <x v="7"/>
    <s v="NE.IMP.GNFS.ZS"/>
    <x v="3"/>
    <n v="21.207370776268721"/>
    <s v="Australia|Imports of goods and services (% of GDP)|2013"/>
  </r>
  <r>
    <x v="9"/>
    <s v="AUS"/>
    <x v="7"/>
    <s v="NE.IMP.GNFS.ZS"/>
    <x v="4"/>
    <n v="21.303391547247525"/>
    <s v="Australia|Imports of goods and services (% of GDP)|2014"/>
  </r>
  <r>
    <x v="9"/>
    <s v="AUS"/>
    <x v="7"/>
    <s v="NE.IMP.GNFS.ZS"/>
    <x v="5"/>
    <n v="21.510105243664562"/>
    <s v="Australia|Imports of goods and services (% of GDP)|2015"/>
  </r>
  <r>
    <x v="9"/>
    <s v="AUS"/>
    <x v="7"/>
    <s v="NE.IMP.GNFS.ZS"/>
    <x v="6"/>
    <n v="21.610258338985883"/>
    <s v="Australia|Imports of goods and services (% of GDP)|2016"/>
  </r>
  <r>
    <x v="9"/>
    <s v="AUS"/>
    <x v="7"/>
    <s v="NE.IMP.GNFS.ZS"/>
    <x v="7"/>
    <n v="20.86357230407782"/>
    <s v="Australia|Imports of goods and services (% of GDP)|2017"/>
  </r>
  <r>
    <x v="9"/>
    <s v="AUS"/>
    <x v="7"/>
    <s v="NE.IMP.GNFS.ZS"/>
    <x v="8"/>
    <n v="21.760651707015249"/>
    <s v="Australia|Imports of goods and services (% of GDP)|2018"/>
  </r>
  <r>
    <x v="9"/>
    <s v="AUS"/>
    <x v="7"/>
    <s v="NE.IMP.GNFS.ZS"/>
    <x v="9"/>
    <n v="21.939202684144981"/>
    <s v="Australia|Imports of goods and services (% of GDP)|2019"/>
  </r>
  <r>
    <x v="9"/>
    <s v="AUS"/>
    <x v="7"/>
    <s v="NE.IMP.GNFS.ZS"/>
    <x v="10"/>
    <n v="20.56152671233772"/>
    <s v="Australia|Imports of goods and services (% of GDP)|2020"/>
  </r>
  <r>
    <x v="9"/>
    <s v="AUS"/>
    <x v="7"/>
    <s v="NE.IMP.GNFS.ZS"/>
    <x v="11"/>
    <n v="18.200421516166969"/>
    <s v="Australia|Imports of goods and services (% of GDP)|2021"/>
  </r>
  <r>
    <x v="9"/>
    <s v="AUS"/>
    <x v="7"/>
    <s v="NE.IMP.GNFS.ZS"/>
    <x v="12"/>
    <n v="20.233112043209342"/>
    <s v="Australia|Imports of goods and services (% of GDP)|2022"/>
  </r>
  <r>
    <x v="9"/>
    <s v="AUS"/>
    <x v="7"/>
    <s v="NE.IMP.GNFS.ZS"/>
    <x v="13"/>
    <n v="22.343271066152944"/>
    <s v="Australia|Imports of goods and services (% of GDP)|2023"/>
  </r>
  <r>
    <x v="9"/>
    <s v="AUS"/>
    <x v="7"/>
    <s v="NE.IMP.GNFS.ZS"/>
    <x v="14"/>
    <n v="22.523857053572261"/>
    <s v="Australia|Imports of goods and services (% of GDP)|2024"/>
  </r>
  <r>
    <x v="9"/>
    <s v="AUS"/>
    <x v="7"/>
    <s v="NE.IMP.GNFS.ZS"/>
    <x v="15"/>
    <n v="22.657011037112927"/>
    <s v="Australia|Imports of goods and services (% of GDP)|2025"/>
  </r>
  <r>
    <x v="9"/>
    <s v="AUS"/>
    <x v="8"/>
    <s v="BX.KLT.DINV.CD.WD"/>
    <x v="0"/>
    <n v="35554698682.424698"/>
    <s v="Australia|Foreign direct investment, net inflows (BoP, current US$)|2010"/>
  </r>
  <r>
    <x v="9"/>
    <s v="AUS"/>
    <x v="8"/>
    <s v="BX.KLT.DINV.CD.WD"/>
    <x v="1"/>
    <n v="65578266555.523003"/>
    <s v="Australia|Foreign direct investment, net inflows (BoP, current US$)|2011"/>
  </r>
  <r>
    <x v="9"/>
    <s v="AUS"/>
    <x v="8"/>
    <s v="BX.KLT.DINV.CD.WD"/>
    <x v="2"/>
    <n v="57571285654.744698"/>
    <s v="Australia|Foreign direct investment, net inflows (BoP, current US$)|2012"/>
  </r>
  <r>
    <x v="9"/>
    <s v="AUS"/>
    <x v="8"/>
    <s v="BX.KLT.DINV.CD.WD"/>
    <x v="3"/>
    <n v="54472699003.596001"/>
    <s v="Australia|Foreign direct investment, net inflows (BoP, current US$)|2013"/>
  </r>
  <r>
    <x v="9"/>
    <s v="AUS"/>
    <x v="8"/>
    <s v="BX.KLT.DINV.CD.WD"/>
    <x v="4"/>
    <n v="63204516347.872498"/>
    <s v="Australia|Foreign direct investment, net inflows (BoP, current US$)|2014"/>
  </r>
  <r>
    <x v="9"/>
    <s v="AUS"/>
    <x v="8"/>
    <s v="BX.KLT.DINV.CD.WD"/>
    <x v="5"/>
    <n v="46892808567.851501"/>
    <s v="Australia|Foreign direct investment, net inflows (BoP, current US$)|2015"/>
  </r>
  <r>
    <x v="9"/>
    <s v="AUS"/>
    <x v="8"/>
    <s v="BX.KLT.DINV.CD.WD"/>
    <x v="6"/>
    <n v="42970225977.708702"/>
    <s v="Australia|Foreign direct investment, net inflows (BoP, current US$)|2016"/>
  </r>
  <r>
    <x v="9"/>
    <s v="AUS"/>
    <x v="8"/>
    <s v="BX.KLT.DINV.CD.WD"/>
    <x v="7"/>
    <n v="48199372039.901398"/>
    <s v="Australia|Foreign direct investment, net inflows (BoP, current US$)|2017"/>
  </r>
  <r>
    <x v="9"/>
    <s v="AUS"/>
    <x v="8"/>
    <s v="BX.KLT.DINV.CD.WD"/>
    <x v="8"/>
    <n v="60686639529.922897"/>
    <s v="Australia|Foreign direct investment, net inflows (BoP, current US$)|2018"/>
  </r>
  <r>
    <x v="9"/>
    <s v="AUS"/>
    <x v="8"/>
    <s v="BX.KLT.DINV.CD.WD"/>
    <x v="9"/>
    <n v="38745129661.119499"/>
    <s v="Australia|Foreign direct investment, net inflows (BoP, current US$)|2019"/>
  </r>
  <r>
    <x v="9"/>
    <s v="AUS"/>
    <x v="8"/>
    <s v="BX.KLT.DINV.CD.WD"/>
    <x v="10"/>
    <n v="17976843681.311699"/>
    <s v="Australia|Foreign direct investment, net inflows (BoP, current US$)|2020"/>
  </r>
  <r>
    <x v="9"/>
    <s v="AUS"/>
    <x v="8"/>
    <s v="BX.KLT.DINV.CD.WD"/>
    <x v="11"/>
    <n v="31453060427.452999"/>
    <s v="Australia|Foreign direct investment, net inflows (BoP, current US$)|2021"/>
  </r>
  <r>
    <x v="9"/>
    <s v="AUS"/>
    <x v="8"/>
    <s v="BX.KLT.DINV.CD.WD"/>
    <x v="12"/>
    <n v="68709419796.645798"/>
    <s v="Australia|Foreign direct investment, net inflows (BoP, current US$)|2022"/>
  </r>
  <r>
    <x v="9"/>
    <s v="AUS"/>
    <x v="8"/>
    <s v="BX.KLT.DINV.CD.WD"/>
    <x v="13"/>
    <n v="35315978153.095497"/>
    <s v="Australia|Foreign direct investment, net inflows (BoP, current US$)|2023"/>
  </r>
  <r>
    <x v="9"/>
    <s v="AUS"/>
    <x v="8"/>
    <s v="BX.KLT.DINV.CD.WD"/>
    <x v="14"/>
    <n v="53722899427.803101"/>
    <s v="Australia|Foreign direct investment, net inflows (BoP, current US$)|2024"/>
  </r>
  <r>
    <x v="9"/>
    <s v="AUS"/>
    <x v="8"/>
    <s v="BX.KLT.DINV.CD.WD"/>
    <x v="15"/>
    <n v="36521352076.921204"/>
    <s v="Australia|Foreign direct investment, net inflows (BoP, current US$)|2025"/>
  </r>
  <r>
    <x v="9"/>
    <s v="AUS"/>
    <x v="9"/>
    <s v="SP.POP.TOTL"/>
    <x v="0"/>
    <n v="22031750"/>
    <s v="Australia|Population, total|2010"/>
  </r>
  <r>
    <x v="9"/>
    <s v="AUS"/>
    <x v="9"/>
    <s v="SP.POP.TOTL"/>
    <x v="1"/>
    <n v="22340024"/>
    <s v="Australia|Population, total|2011"/>
  </r>
  <r>
    <x v="9"/>
    <s v="AUS"/>
    <x v="9"/>
    <s v="SP.POP.TOTL"/>
    <x v="2"/>
    <n v="22733465"/>
    <s v="Australia|Population, total|2012"/>
  </r>
  <r>
    <x v="9"/>
    <s v="AUS"/>
    <x v="9"/>
    <s v="SP.POP.TOTL"/>
    <x v="3"/>
    <n v="23128129"/>
    <s v="Australia|Population, total|2013"/>
  </r>
  <r>
    <x v="9"/>
    <s v="AUS"/>
    <x v="9"/>
    <s v="SP.POP.TOTL"/>
    <x v="4"/>
    <n v="23475686"/>
    <s v="Australia|Population, total|2014"/>
  </r>
  <r>
    <x v="9"/>
    <s v="AUS"/>
    <x v="9"/>
    <s v="SP.POP.TOTL"/>
    <x v="5"/>
    <n v="23815995"/>
    <s v="Australia|Population, total|2015"/>
  </r>
  <r>
    <x v="9"/>
    <s v="AUS"/>
    <x v="9"/>
    <s v="SP.POP.TOTL"/>
    <x v="6"/>
    <n v="24190907"/>
    <s v="Australia|Population, total|2016"/>
  </r>
  <r>
    <x v="9"/>
    <s v="AUS"/>
    <x v="9"/>
    <s v="SP.POP.TOTL"/>
    <x v="7"/>
    <n v="24592588"/>
    <s v="Australia|Population, total|2017"/>
  </r>
  <r>
    <x v="9"/>
    <s v="AUS"/>
    <x v="9"/>
    <s v="SP.POP.TOTL"/>
    <x v="8"/>
    <n v="24963258"/>
    <s v="Australia|Population, total|2018"/>
  </r>
  <r>
    <x v="9"/>
    <s v="AUS"/>
    <x v="9"/>
    <s v="SP.POP.TOTL"/>
    <x v="9"/>
    <n v="25334826"/>
    <s v="Australia|Population, total|2019"/>
  </r>
  <r>
    <x v="9"/>
    <s v="AUS"/>
    <x v="9"/>
    <s v="SP.POP.TOTL"/>
    <x v="10"/>
    <n v="25649248"/>
    <s v="Australia|Population, total|2020"/>
  </r>
  <r>
    <x v="9"/>
    <s v="AUS"/>
    <x v="9"/>
    <s v="SP.POP.TOTL"/>
    <x v="11"/>
    <n v="25685412"/>
    <s v="Australia|Population, total|2021"/>
  </r>
  <r>
    <x v="9"/>
    <s v="AUS"/>
    <x v="9"/>
    <s v="SP.POP.TOTL"/>
    <x v="12"/>
    <n v="26018721"/>
    <s v="Australia|Population, total|2022"/>
  </r>
  <r>
    <x v="9"/>
    <s v="AUS"/>
    <x v="9"/>
    <s v="SP.POP.TOTL"/>
    <x v="13"/>
    <n v="26659922"/>
    <s v="Australia|Population, total|2023"/>
  </r>
  <r>
    <x v="9"/>
    <s v="AUS"/>
    <x v="9"/>
    <s v="SP.POP.TOTL"/>
    <x v="14"/>
    <n v="27194286"/>
    <s v="Australia|Population, total|2024"/>
  </r>
  <r>
    <x v="9"/>
    <s v="AUS"/>
    <x v="9"/>
    <s v="SP.POP.TOTL"/>
    <x v="15"/>
    <n v="27614411"/>
    <s v="Australia|Population, total|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9EEA6-3E48-46E2-8F6E-C4F00593C84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4" firstHeaderRow="1" firstDataRow="1" firstDataCol="1" rowPageCount="1" colPageCount="1"/>
  <pivotFields count="7">
    <pivotField axis="axisRow" showAll="0">
      <items count="11">
        <item x="9"/>
        <item x="2"/>
        <item x="6"/>
        <item x="1"/>
        <item x="4"/>
        <item x="3"/>
        <item x="5"/>
        <item x="0"/>
        <item x="7"/>
        <item x="8"/>
        <item t="default"/>
      </items>
    </pivotField>
    <pivotField showAll="0"/>
    <pivotField axis="axisPage" showAll="0">
      <items count="11">
        <item x="6"/>
        <item x="8"/>
        <item x="0"/>
        <item x="1"/>
        <item x="7"/>
        <item x="2"/>
        <item x="4"/>
        <item x="5"/>
        <item x="9"/>
        <item x="3"/>
        <item t="default"/>
      </items>
    </pivotField>
    <pivotField showAll="0"/>
    <pivotField showAll="0"/>
    <pivotField dataField="1" showAll="0"/>
    <pivotField showAll="0"/>
  </pivotFields>
  <rowFields count="1">
    <field x="0"/>
  </rowFields>
  <rowItems count="11">
    <i>
      <x/>
    </i>
    <i>
      <x v="1"/>
    </i>
    <i>
      <x v="2"/>
    </i>
    <i>
      <x v="3"/>
    </i>
    <i>
      <x v="4"/>
    </i>
    <i>
      <x v="5"/>
    </i>
    <i>
      <x v="6"/>
    </i>
    <i>
      <x v="7"/>
    </i>
    <i>
      <x v="8"/>
    </i>
    <i>
      <x v="9"/>
    </i>
    <i t="grand">
      <x/>
    </i>
  </rowItems>
  <colItems count="1">
    <i/>
  </colItems>
  <pageFields count="1">
    <pageField fld="2" hier="-1"/>
  </pageFields>
  <dataFields count="1">
    <dataField name="Average of Value" fld="5" subtotal="average" baseField="0" baseItem="0"/>
  </dataFields>
  <formats count="12">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field="0" type="button" dataOnly="0" labelOnly="1" outline="0" axis="axisRow" fieldPosition="0"/>
    </format>
    <format dxfId="319">
      <pivotArea dataOnly="0" labelOnly="1" fieldPosition="0">
        <references count="1">
          <reference field="0" count="0"/>
        </references>
      </pivotArea>
    </format>
    <format dxfId="318">
      <pivotArea dataOnly="0" labelOnly="1" grandRow="1" outline="0" fieldPosition="0"/>
    </format>
    <format dxfId="3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BFF43-D3E7-4CB5-95CC-2DBB886C11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N15" firstHeaderRow="1" firstDataRow="2" firstDataCol="1" rowPageCount="1" colPageCount="1"/>
  <pivotFields count="7">
    <pivotField axis="axisRow" showAll="0">
      <items count="11">
        <item x="9"/>
        <item x="2"/>
        <item x="6"/>
        <item x="1"/>
        <item x="4"/>
        <item x="3"/>
        <item x="5"/>
        <item x="0"/>
        <item x="7"/>
        <item x="8"/>
        <item t="default"/>
      </items>
    </pivotField>
    <pivotField showAll="0"/>
    <pivotField axis="axisPage" showAll="0">
      <items count="11">
        <item x="6"/>
        <item x="8"/>
        <item x="0"/>
        <item x="1"/>
        <item x="7"/>
        <item x="2"/>
        <item x="4"/>
        <item x="5"/>
        <item x="9"/>
        <item x="3"/>
        <item t="default"/>
      </items>
    </pivotField>
    <pivotField showAll="0"/>
    <pivotField axis="axisCol" showAll="0">
      <items count="17">
        <item h="1" x="0"/>
        <item h="1" x="1"/>
        <item h="1" x="2"/>
        <item h="1" x="3"/>
        <item h="1" x="4"/>
        <item h="1" x="5"/>
        <item h="1" x="6"/>
        <item h="1" x="7"/>
        <item h="1" x="8"/>
        <item h="1" x="9"/>
        <item h="1" x="10"/>
        <item h="1" x="11"/>
        <item h="1" x="12"/>
        <item h="1" x="13"/>
        <item h="1" x="14"/>
        <item x="15"/>
        <item t="default"/>
      </items>
    </pivotField>
    <pivotField dataField="1" showAll="0"/>
    <pivotField showAll="0"/>
  </pivotFields>
  <rowFields count="1">
    <field x="0"/>
  </rowFields>
  <rowItems count="11">
    <i>
      <x/>
    </i>
    <i>
      <x v="1"/>
    </i>
    <i>
      <x v="2"/>
    </i>
    <i>
      <x v="3"/>
    </i>
    <i>
      <x v="4"/>
    </i>
    <i>
      <x v="5"/>
    </i>
    <i>
      <x v="6"/>
    </i>
    <i>
      <x v="7"/>
    </i>
    <i>
      <x v="8"/>
    </i>
    <i>
      <x v="9"/>
    </i>
    <i t="grand">
      <x/>
    </i>
  </rowItems>
  <colFields count="1">
    <field x="4"/>
  </colFields>
  <colItems count="2">
    <i>
      <x v="15"/>
    </i>
    <i t="grand">
      <x/>
    </i>
  </colItems>
  <pageFields count="1">
    <pageField fld="2" item="2" hier="-1"/>
  </pageFields>
  <dataFields count="1">
    <dataField name="Sum of Value" fld="5" baseField="0" baseItem="0"/>
  </dataFields>
  <formats count="20">
    <format dxfId="348">
      <pivotArea type="all" dataOnly="0" outline="0" fieldPosition="0"/>
    </format>
    <format dxfId="347">
      <pivotArea outline="0" collapsedLevelsAreSubtotals="1" fieldPosition="0"/>
    </format>
    <format dxfId="346">
      <pivotArea type="origin" dataOnly="0" labelOnly="1" outline="0" fieldPosition="0"/>
    </format>
    <format dxfId="345">
      <pivotArea field="4" type="button" dataOnly="0" labelOnly="1" outline="0" axis="axisCol" fieldPosition="0"/>
    </format>
    <format dxfId="344">
      <pivotArea type="topRight" dataOnly="0" labelOnly="1" outline="0" fieldPosition="0"/>
    </format>
    <format dxfId="343">
      <pivotArea field="0" type="button" dataOnly="0" labelOnly="1" outline="0" axis="axisRow" fieldPosition="0"/>
    </format>
    <format dxfId="342">
      <pivotArea dataOnly="0" labelOnly="1" fieldPosition="0">
        <references count="1">
          <reference field="0" count="0"/>
        </references>
      </pivotArea>
    </format>
    <format dxfId="341">
      <pivotArea dataOnly="0" labelOnly="1" grandRow="1" outline="0" fieldPosition="0"/>
    </format>
    <format dxfId="340">
      <pivotArea dataOnly="0" labelOnly="1" fieldPosition="0">
        <references count="1">
          <reference field="4" count="0"/>
        </references>
      </pivotArea>
    </format>
    <format dxfId="339">
      <pivotArea dataOnly="0" labelOnly="1" grandCol="1" outline="0" fieldPosition="0"/>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4" type="button" dataOnly="0" labelOnly="1" outline="0" axis="axisCol" fieldPosition="0"/>
    </format>
    <format dxfId="334">
      <pivotArea type="topRight" dataOnly="0" labelOnly="1" outline="0" fieldPosition="0"/>
    </format>
    <format dxfId="333">
      <pivotArea field="0" type="button" dataOnly="0" labelOnly="1" outline="0" axis="axisRow" fieldPosition="0"/>
    </format>
    <format dxfId="332">
      <pivotArea dataOnly="0" labelOnly="1" fieldPosition="0">
        <references count="1">
          <reference field="0" count="0"/>
        </references>
      </pivotArea>
    </format>
    <format dxfId="331">
      <pivotArea dataOnly="0" labelOnly="1" grandRow="1" outline="0" fieldPosition="0"/>
    </format>
    <format dxfId="330">
      <pivotArea dataOnly="0" labelOnly="1" fieldPosition="0">
        <references count="1">
          <reference field="4" count="0"/>
        </references>
      </pivotArea>
    </format>
    <format dxfId="329">
      <pivotArea dataOnly="0" labelOnly="1" grandCol="1" outline="0" fieldPosition="0"/>
    </format>
  </formats>
  <chartFormats count="16">
    <chartFormat chart="2" format="32" series="1">
      <pivotArea type="data" outline="0" fieldPosition="0">
        <references count="2">
          <reference field="4294967294" count="1" selected="0">
            <x v="0"/>
          </reference>
          <reference field="4" count="1" selected="0">
            <x v="0"/>
          </reference>
        </references>
      </pivotArea>
    </chartFormat>
    <chartFormat chart="2" format="33" series="1">
      <pivotArea type="data" outline="0" fieldPosition="0">
        <references count="2">
          <reference field="4294967294" count="1" selected="0">
            <x v="0"/>
          </reference>
          <reference field="4" count="1" selected="0">
            <x v="1"/>
          </reference>
        </references>
      </pivotArea>
    </chartFormat>
    <chartFormat chart="2" format="34" series="1">
      <pivotArea type="data" outline="0" fieldPosition="0">
        <references count="2">
          <reference field="4294967294" count="1" selected="0">
            <x v="0"/>
          </reference>
          <reference field="4" count="1" selected="0">
            <x v="2"/>
          </reference>
        </references>
      </pivotArea>
    </chartFormat>
    <chartFormat chart="2" format="35" series="1">
      <pivotArea type="data" outline="0" fieldPosition="0">
        <references count="2">
          <reference field="4294967294" count="1" selected="0">
            <x v="0"/>
          </reference>
          <reference field="4" count="1" selected="0">
            <x v="3"/>
          </reference>
        </references>
      </pivotArea>
    </chartFormat>
    <chartFormat chart="2" format="36" series="1">
      <pivotArea type="data" outline="0" fieldPosition="0">
        <references count="2">
          <reference field="4294967294" count="1" selected="0">
            <x v="0"/>
          </reference>
          <reference field="4" count="1" selected="0">
            <x v="4"/>
          </reference>
        </references>
      </pivotArea>
    </chartFormat>
    <chartFormat chart="2" format="37" series="1">
      <pivotArea type="data" outline="0" fieldPosition="0">
        <references count="2">
          <reference field="4294967294" count="1" selected="0">
            <x v="0"/>
          </reference>
          <reference field="4" count="1" selected="0">
            <x v="5"/>
          </reference>
        </references>
      </pivotArea>
    </chartFormat>
    <chartFormat chart="2" format="38" series="1">
      <pivotArea type="data" outline="0" fieldPosition="0">
        <references count="2">
          <reference field="4294967294" count="1" selected="0">
            <x v="0"/>
          </reference>
          <reference field="4" count="1" selected="0">
            <x v="6"/>
          </reference>
        </references>
      </pivotArea>
    </chartFormat>
    <chartFormat chart="2" format="39" series="1">
      <pivotArea type="data" outline="0" fieldPosition="0">
        <references count="2">
          <reference field="4294967294" count="1" selected="0">
            <x v="0"/>
          </reference>
          <reference field="4" count="1" selected="0">
            <x v="7"/>
          </reference>
        </references>
      </pivotArea>
    </chartFormat>
    <chartFormat chart="2" format="40" series="1">
      <pivotArea type="data" outline="0" fieldPosition="0">
        <references count="2">
          <reference field="4294967294" count="1" selected="0">
            <x v="0"/>
          </reference>
          <reference field="4" count="1" selected="0">
            <x v="8"/>
          </reference>
        </references>
      </pivotArea>
    </chartFormat>
    <chartFormat chart="2" format="41" series="1">
      <pivotArea type="data" outline="0" fieldPosition="0">
        <references count="2">
          <reference field="4294967294" count="1" selected="0">
            <x v="0"/>
          </reference>
          <reference field="4" count="1" selected="0">
            <x v="9"/>
          </reference>
        </references>
      </pivotArea>
    </chartFormat>
    <chartFormat chart="2" format="42" series="1">
      <pivotArea type="data" outline="0" fieldPosition="0">
        <references count="2">
          <reference field="4294967294" count="1" selected="0">
            <x v="0"/>
          </reference>
          <reference field="4" count="1" selected="0">
            <x v="10"/>
          </reference>
        </references>
      </pivotArea>
    </chartFormat>
    <chartFormat chart="2" format="43" series="1">
      <pivotArea type="data" outline="0" fieldPosition="0">
        <references count="2">
          <reference field="4294967294" count="1" selected="0">
            <x v="0"/>
          </reference>
          <reference field="4" count="1" selected="0">
            <x v="11"/>
          </reference>
        </references>
      </pivotArea>
    </chartFormat>
    <chartFormat chart="2" format="44" series="1">
      <pivotArea type="data" outline="0" fieldPosition="0">
        <references count="2">
          <reference field="4294967294" count="1" selected="0">
            <x v="0"/>
          </reference>
          <reference field="4" count="1" selected="0">
            <x v="12"/>
          </reference>
        </references>
      </pivotArea>
    </chartFormat>
    <chartFormat chart="2" format="45" series="1">
      <pivotArea type="data" outline="0" fieldPosition="0">
        <references count="2">
          <reference field="4294967294" count="1" selected="0">
            <x v="0"/>
          </reference>
          <reference field="4" count="1" selected="0">
            <x v="13"/>
          </reference>
        </references>
      </pivotArea>
    </chartFormat>
    <chartFormat chart="2" format="46" series="1">
      <pivotArea type="data" outline="0" fieldPosition="0">
        <references count="2">
          <reference field="4294967294" count="1" selected="0">
            <x v="0"/>
          </reference>
          <reference field="4" count="1" selected="0">
            <x v="14"/>
          </reference>
        </references>
      </pivotArea>
    </chartFormat>
    <chartFormat chart="2" format="47" series="1">
      <pivotArea type="data" outline="0" fieldPosition="0">
        <references count="2">
          <reference field="4294967294" count="1" selected="0">
            <x v="0"/>
          </reference>
          <reference field="4"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F40EC-9C75-4467-8178-E0EB4B9DBE6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114" firstHeaderRow="1" firstDataRow="1" firstDataCol="1"/>
  <pivotFields count="7">
    <pivotField axis="axisRow" showAll="0">
      <items count="11">
        <item x="9"/>
        <item x="2"/>
        <item x="6"/>
        <item x="1"/>
        <item x="4"/>
        <item x="3"/>
        <item x="5"/>
        <item x="0"/>
        <item x="7"/>
        <item x="8"/>
        <item t="default"/>
      </items>
    </pivotField>
    <pivotField showAll="0"/>
    <pivotField axis="axisRow" showAll="0">
      <items count="11">
        <item x="6"/>
        <item x="8"/>
        <item x="0"/>
        <item x="1"/>
        <item x="7"/>
        <item x="2"/>
        <item x="4"/>
        <item x="5"/>
        <item x="9"/>
        <item x="3"/>
        <item t="default"/>
      </items>
    </pivotField>
    <pivotField showAll="0"/>
    <pivotField showAll="0"/>
    <pivotField dataField="1" showAll="0"/>
    <pivotField showAll="0"/>
  </pivotFields>
  <rowFields count="2">
    <field x="0"/>
    <field x="2"/>
  </rowFields>
  <rowItems count="111">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x v="4"/>
    </i>
    <i r="1">
      <x/>
    </i>
    <i r="1">
      <x v="1"/>
    </i>
    <i r="1">
      <x v="2"/>
    </i>
    <i r="1">
      <x v="3"/>
    </i>
    <i r="1">
      <x v="4"/>
    </i>
    <i r="1">
      <x v="5"/>
    </i>
    <i r="1">
      <x v="6"/>
    </i>
    <i r="1">
      <x v="7"/>
    </i>
    <i r="1">
      <x v="8"/>
    </i>
    <i r="1">
      <x v="9"/>
    </i>
    <i>
      <x v="5"/>
    </i>
    <i r="1">
      <x/>
    </i>
    <i r="1">
      <x v="1"/>
    </i>
    <i r="1">
      <x v="2"/>
    </i>
    <i r="1">
      <x v="3"/>
    </i>
    <i r="1">
      <x v="4"/>
    </i>
    <i r="1">
      <x v="5"/>
    </i>
    <i r="1">
      <x v="6"/>
    </i>
    <i r="1">
      <x v="7"/>
    </i>
    <i r="1">
      <x v="8"/>
    </i>
    <i r="1">
      <x v="9"/>
    </i>
    <i>
      <x v="6"/>
    </i>
    <i r="1">
      <x/>
    </i>
    <i r="1">
      <x v="1"/>
    </i>
    <i r="1">
      <x v="2"/>
    </i>
    <i r="1">
      <x v="3"/>
    </i>
    <i r="1">
      <x v="4"/>
    </i>
    <i r="1">
      <x v="5"/>
    </i>
    <i r="1">
      <x v="6"/>
    </i>
    <i r="1">
      <x v="7"/>
    </i>
    <i r="1">
      <x v="8"/>
    </i>
    <i r="1">
      <x v="9"/>
    </i>
    <i>
      <x v="7"/>
    </i>
    <i r="1">
      <x/>
    </i>
    <i r="1">
      <x v="1"/>
    </i>
    <i r="1">
      <x v="2"/>
    </i>
    <i r="1">
      <x v="3"/>
    </i>
    <i r="1">
      <x v="4"/>
    </i>
    <i r="1">
      <x v="5"/>
    </i>
    <i r="1">
      <x v="6"/>
    </i>
    <i r="1">
      <x v="7"/>
    </i>
    <i r="1">
      <x v="8"/>
    </i>
    <i r="1">
      <x v="9"/>
    </i>
    <i>
      <x v="8"/>
    </i>
    <i r="1">
      <x/>
    </i>
    <i r="1">
      <x v="1"/>
    </i>
    <i r="1">
      <x v="2"/>
    </i>
    <i r="1">
      <x v="3"/>
    </i>
    <i r="1">
      <x v="4"/>
    </i>
    <i r="1">
      <x v="5"/>
    </i>
    <i r="1">
      <x v="6"/>
    </i>
    <i r="1">
      <x v="7"/>
    </i>
    <i r="1">
      <x v="8"/>
    </i>
    <i r="1">
      <x v="9"/>
    </i>
    <i>
      <x v="9"/>
    </i>
    <i r="1">
      <x/>
    </i>
    <i r="1">
      <x v="1"/>
    </i>
    <i r="1">
      <x v="2"/>
    </i>
    <i r="1">
      <x v="3"/>
    </i>
    <i r="1">
      <x v="4"/>
    </i>
    <i r="1">
      <x v="5"/>
    </i>
    <i r="1">
      <x v="6"/>
    </i>
    <i r="1">
      <x v="7"/>
    </i>
    <i r="1">
      <x v="8"/>
    </i>
    <i r="1">
      <x v="9"/>
    </i>
    <i t="grand">
      <x/>
    </i>
  </rowItems>
  <colItems count="1">
    <i/>
  </colItems>
  <dataFields count="1">
    <dataField name="Average of Value" fld="5" subtotal="average" baseField="0" baseItem="0"/>
  </dataFields>
  <formats count="32">
    <format dxfId="380">
      <pivotArea type="all" dataOnly="0" outline="0" fieldPosition="0"/>
    </format>
    <format dxfId="379">
      <pivotArea outline="0" collapsedLevelsAreSubtotals="1" fieldPosition="0"/>
    </format>
    <format dxfId="378">
      <pivotArea field="0" type="button" dataOnly="0" labelOnly="1" outline="0" axis="axisRow" fieldPosition="0"/>
    </format>
    <format dxfId="377">
      <pivotArea dataOnly="0" labelOnly="1" fieldPosition="0">
        <references count="1">
          <reference field="0" count="0"/>
        </references>
      </pivotArea>
    </format>
    <format dxfId="376">
      <pivotArea dataOnly="0" labelOnly="1" grandRow="1" outline="0" fieldPosition="0"/>
    </format>
    <format dxfId="375">
      <pivotArea dataOnly="0" labelOnly="1" fieldPosition="0">
        <references count="2">
          <reference field="0" count="1" selected="0">
            <x v="0"/>
          </reference>
          <reference field="2" count="0"/>
        </references>
      </pivotArea>
    </format>
    <format dxfId="374">
      <pivotArea dataOnly="0" labelOnly="1" fieldPosition="0">
        <references count="2">
          <reference field="0" count="1" selected="0">
            <x v="1"/>
          </reference>
          <reference field="2" count="0"/>
        </references>
      </pivotArea>
    </format>
    <format dxfId="373">
      <pivotArea dataOnly="0" labelOnly="1" fieldPosition="0">
        <references count="2">
          <reference field="0" count="1" selected="0">
            <x v="2"/>
          </reference>
          <reference field="2" count="0"/>
        </references>
      </pivotArea>
    </format>
    <format dxfId="372">
      <pivotArea dataOnly="0" labelOnly="1" fieldPosition="0">
        <references count="2">
          <reference field="0" count="1" selected="0">
            <x v="3"/>
          </reference>
          <reference field="2" count="0"/>
        </references>
      </pivotArea>
    </format>
    <format dxfId="371">
      <pivotArea dataOnly="0" labelOnly="1" fieldPosition="0">
        <references count="2">
          <reference field="0" count="1" selected="0">
            <x v="4"/>
          </reference>
          <reference field="2" count="0"/>
        </references>
      </pivotArea>
    </format>
    <format dxfId="370">
      <pivotArea dataOnly="0" labelOnly="1" fieldPosition="0">
        <references count="2">
          <reference field="0" count="1" selected="0">
            <x v="5"/>
          </reference>
          <reference field="2" count="0"/>
        </references>
      </pivotArea>
    </format>
    <format dxfId="369">
      <pivotArea dataOnly="0" labelOnly="1" fieldPosition="0">
        <references count="2">
          <reference field="0" count="1" selected="0">
            <x v="6"/>
          </reference>
          <reference field="2" count="0"/>
        </references>
      </pivotArea>
    </format>
    <format dxfId="368">
      <pivotArea dataOnly="0" labelOnly="1" fieldPosition="0">
        <references count="2">
          <reference field="0" count="1" selected="0">
            <x v="7"/>
          </reference>
          <reference field="2" count="0"/>
        </references>
      </pivotArea>
    </format>
    <format dxfId="367">
      <pivotArea dataOnly="0" labelOnly="1" fieldPosition="0">
        <references count="2">
          <reference field="0" count="1" selected="0">
            <x v="8"/>
          </reference>
          <reference field="2" count="0"/>
        </references>
      </pivotArea>
    </format>
    <format dxfId="366">
      <pivotArea dataOnly="0" labelOnly="1" fieldPosition="0">
        <references count="2">
          <reference field="0" count="1" selected="0">
            <x v="9"/>
          </reference>
          <reference field="2" count="0"/>
        </references>
      </pivotArea>
    </format>
    <format dxfId="365">
      <pivotArea dataOnly="0" labelOnly="1" outline="0" axis="axisValues" fieldPosition="0"/>
    </format>
    <format dxfId="364">
      <pivotArea type="all" dataOnly="0" outline="0" fieldPosition="0"/>
    </format>
    <format dxfId="363">
      <pivotArea outline="0" collapsedLevelsAreSubtotals="1" fieldPosition="0"/>
    </format>
    <format dxfId="362">
      <pivotArea field="0" type="button" dataOnly="0" labelOnly="1" outline="0" axis="axisRow" fieldPosition="0"/>
    </format>
    <format dxfId="361">
      <pivotArea dataOnly="0" labelOnly="1" fieldPosition="0">
        <references count="1">
          <reference field="0" count="0"/>
        </references>
      </pivotArea>
    </format>
    <format dxfId="360">
      <pivotArea dataOnly="0" labelOnly="1" grandRow="1" outline="0" fieldPosition="0"/>
    </format>
    <format dxfId="359">
      <pivotArea dataOnly="0" labelOnly="1" fieldPosition="0">
        <references count="2">
          <reference field="0" count="1" selected="0">
            <x v="0"/>
          </reference>
          <reference field="2" count="0"/>
        </references>
      </pivotArea>
    </format>
    <format dxfId="358">
      <pivotArea dataOnly="0" labelOnly="1" fieldPosition="0">
        <references count="2">
          <reference field="0" count="1" selected="0">
            <x v="1"/>
          </reference>
          <reference field="2" count="0"/>
        </references>
      </pivotArea>
    </format>
    <format dxfId="357">
      <pivotArea dataOnly="0" labelOnly="1" fieldPosition="0">
        <references count="2">
          <reference field="0" count="1" selected="0">
            <x v="2"/>
          </reference>
          <reference field="2" count="0"/>
        </references>
      </pivotArea>
    </format>
    <format dxfId="356">
      <pivotArea dataOnly="0" labelOnly="1" fieldPosition="0">
        <references count="2">
          <reference field="0" count="1" selected="0">
            <x v="3"/>
          </reference>
          <reference field="2" count="0"/>
        </references>
      </pivotArea>
    </format>
    <format dxfId="355">
      <pivotArea dataOnly="0" labelOnly="1" fieldPosition="0">
        <references count="2">
          <reference field="0" count="1" selected="0">
            <x v="4"/>
          </reference>
          <reference field="2" count="0"/>
        </references>
      </pivotArea>
    </format>
    <format dxfId="354">
      <pivotArea dataOnly="0" labelOnly="1" fieldPosition="0">
        <references count="2">
          <reference field="0" count="1" selected="0">
            <x v="5"/>
          </reference>
          <reference field="2" count="0"/>
        </references>
      </pivotArea>
    </format>
    <format dxfId="353">
      <pivotArea dataOnly="0" labelOnly="1" fieldPosition="0">
        <references count="2">
          <reference field="0" count="1" selected="0">
            <x v="6"/>
          </reference>
          <reference field="2" count="0"/>
        </references>
      </pivotArea>
    </format>
    <format dxfId="352">
      <pivotArea dataOnly="0" labelOnly="1" fieldPosition="0">
        <references count="2">
          <reference field="0" count="1" selected="0">
            <x v="7"/>
          </reference>
          <reference field="2" count="0"/>
        </references>
      </pivotArea>
    </format>
    <format dxfId="351">
      <pivotArea dataOnly="0" labelOnly="1" fieldPosition="0">
        <references count="2">
          <reference field="0" count="1" selected="0">
            <x v="8"/>
          </reference>
          <reference field="2" count="0"/>
        </references>
      </pivotArea>
    </format>
    <format dxfId="350">
      <pivotArea dataOnly="0" labelOnly="1" fieldPosition="0">
        <references count="2">
          <reference field="0" count="1" selected="0">
            <x v="9"/>
          </reference>
          <reference field="2" count="0"/>
        </references>
      </pivotArea>
    </format>
    <format dxfId="3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C6A52A-41AE-4315-A82A-370222749A4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20" firstHeaderRow="1" firstDataRow="1" firstDataCol="1" rowPageCount="1" colPageCount="1"/>
  <pivotFields count="7">
    <pivotField showAll="0">
      <items count="11">
        <item x="9"/>
        <item x="2"/>
        <item x="6"/>
        <item x="1"/>
        <item x="4"/>
        <item x="3"/>
        <item x="5"/>
        <item x="0"/>
        <item x="7"/>
        <item x="8"/>
        <item t="default"/>
      </items>
    </pivotField>
    <pivotField showAll="0"/>
    <pivotField axis="axisPage" showAll="0">
      <items count="11">
        <item x="6"/>
        <item x="8"/>
        <item x="0"/>
        <item x="1"/>
        <item x="7"/>
        <item x="2"/>
        <item x="4"/>
        <item x="5"/>
        <item x="9"/>
        <item x="3"/>
        <item t="default"/>
      </items>
    </pivotField>
    <pivotField showAll="0"/>
    <pivotField axis="axisRow" showAll="0">
      <items count="17">
        <item x="0"/>
        <item x="1"/>
        <item x="2"/>
        <item x="3"/>
        <item x="4"/>
        <item x="5"/>
        <item x="6"/>
        <item x="7"/>
        <item x="8"/>
        <item x="9"/>
        <item x="10"/>
        <item x="11"/>
        <item x="12"/>
        <item x="13"/>
        <item x="14"/>
        <item x="15"/>
        <item t="default"/>
      </items>
    </pivotField>
    <pivotField dataField="1"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pageFields count="1">
    <pageField fld="2" item="3" hier="-1"/>
  </pageFields>
  <dataFields count="1">
    <dataField name="Sum of Value" fld="5" baseField="0" baseItem="0"/>
  </dataFields>
  <formats count="12">
    <format dxfId="392">
      <pivotArea type="all" dataOnly="0" outline="0" fieldPosition="0"/>
    </format>
    <format dxfId="391">
      <pivotArea outline="0" collapsedLevelsAreSubtotals="1" fieldPosition="0"/>
    </format>
    <format dxfId="390">
      <pivotArea field="4" type="button" dataOnly="0" labelOnly="1" outline="0" axis="axisRow" fieldPosition="0"/>
    </format>
    <format dxfId="389">
      <pivotArea dataOnly="0" labelOnly="1" fieldPosition="0">
        <references count="1">
          <reference field="4" count="0"/>
        </references>
      </pivotArea>
    </format>
    <format dxfId="388">
      <pivotArea dataOnly="0" labelOnly="1" grandRow="1" outline="0"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field="4" type="button" dataOnly="0" labelOnly="1" outline="0" axis="axisRow" fieldPosition="0"/>
    </format>
    <format dxfId="383">
      <pivotArea dataOnly="0" labelOnly="1" fieldPosition="0">
        <references count="1">
          <reference field="4" count="0"/>
        </references>
      </pivotArea>
    </format>
    <format dxfId="382">
      <pivotArea dataOnly="0" labelOnly="1" grandRow="1" outline="0" fieldPosition="0"/>
    </format>
    <format dxfId="38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E0A795-FA8E-4D7B-AD7D-4F18C17A7AF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2:U40" firstHeaderRow="1" firstDataRow="2" firstDataCol="1" rowPageCount="1" colPageCount="1"/>
  <pivotFields count="7">
    <pivotField axis="axisPage" showAll="0">
      <items count="11">
        <item x="9"/>
        <item x="2"/>
        <item x="6"/>
        <item x="1"/>
        <item x="4"/>
        <item x="3"/>
        <item x="5"/>
        <item x="0"/>
        <item x="7"/>
        <item x="8"/>
        <item t="default"/>
      </items>
    </pivotField>
    <pivotField showAll="0"/>
    <pivotField axis="axisCol" showAll="0">
      <items count="11">
        <item h="1" x="6"/>
        <item h="1" x="8"/>
        <item x="0"/>
        <item x="1"/>
        <item h="1" x="7"/>
        <item x="2"/>
        <item h="1" x="4"/>
        <item h="1" x="5"/>
        <item h="1" x="9"/>
        <item h="1" x="3"/>
        <item t="default"/>
      </items>
    </pivotField>
    <pivotField showAll="0"/>
    <pivotField axis="axisRow" showAll="0">
      <items count="17">
        <item x="0"/>
        <item x="1"/>
        <item x="2"/>
        <item x="3"/>
        <item x="4"/>
        <item x="5"/>
        <item x="6"/>
        <item x="7"/>
        <item x="8"/>
        <item x="9"/>
        <item x="10"/>
        <item x="11"/>
        <item x="12"/>
        <item x="13"/>
        <item x="14"/>
        <item x="15"/>
        <item t="default"/>
      </items>
    </pivotField>
    <pivotField dataField="1" showAl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4">
    <i>
      <x v="2"/>
    </i>
    <i>
      <x v="3"/>
    </i>
    <i>
      <x v="5"/>
    </i>
    <i t="grand">
      <x/>
    </i>
  </colItems>
  <pageFields count="1">
    <pageField fld="0" hier="-1"/>
  </pageFields>
  <dataFields count="1">
    <dataField name="Average of Value" fld="5" subtotal="average" baseField="4" baseItem="3"/>
  </dataFields>
  <formats count="2">
    <format dxfId="394">
      <pivotArea type="topRight" dataOnly="0" labelOnly="1" outline="0" fieldPosition="0"/>
    </format>
    <format dxfId="393">
      <pivotArea dataOnly="0" labelOnly="1"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AAC1A0-73A2-4808-A0D9-7CDF4EDD663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1:O33" firstHeaderRow="1" firstDataRow="2" firstDataCol="1"/>
  <pivotFields count="7">
    <pivotField axis="axisRow" showAll="0">
      <items count="11">
        <item x="9"/>
        <item x="2"/>
        <item x="6"/>
        <item x="1"/>
        <item x="4"/>
        <item x="3"/>
        <item x="5"/>
        <item x="0"/>
        <item x="7"/>
        <item x="8"/>
        <item t="default"/>
      </items>
    </pivotField>
    <pivotField showAll="0"/>
    <pivotField axis="axisCol" showAll="0">
      <items count="11">
        <item h="1" x="6"/>
        <item h="1" x="8"/>
        <item h="1" x="0"/>
        <item x="1"/>
        <item h="1" x="7"/>
        <item x="2"/>
        <item h="1" x="4"/>
        <item h="1" x="5"/>
        <item h="1" x="9"/>
        <item h="1" x="3"/>
        <item t="default"/>
      </items>
    </pivotField>
    <pivotField showAll="0"/>
    <pivotField showAll="0"/>
    <pivotField dataField="1" showAll="0"/>
    <pivotField showAll="0"/>
  </pivotFields>
  <rowFields count="1">
    <field x="0"/>
  </rowFields>
  <rowItems count="11">
    <i>
      <x/>
    </i>
    <i>
      <x v="1"/>
    </i>
    <i>
      <x v="2"/>
    </i>
    <i>
      <x v="3"/>
    </i>
    <i>
      <x v="4"/>
    </i>
    <i>
      <x v="5"/>
    </i>
    <i>
      <x v="6"/>
    </i>
    <i>
      <x v="7"/>
    </i>
    <i>
      <x v="8"/>
    </i>
    <i>
      <x v="9"/>
    </i>
    <i t="grand">
      <x/>
    </i>
  </rowItems>
  <colFields count="1">
    <field x="2"/>
  </colFields>
  <colItems count="3">
    <i>
      <x v="3"/>
    </i>
    <i>
      <x v="5"/>
    </i>
    <i t="grand">
      <x/>
    </i>
  </colItems>
  <dataFields count="1">
    <dataField name="Average of Value" fld="5" subtotal="average" baseField="0" baseItem="0"/>
  </dataFields>
  <formats count="22">
    <format dxfId="416">
      <pivotArea type="all" dataOnly="0" outline="0" fieldPosition="0"/>
    </format>
    <format dxfId="415">
      <pivotArea outline="0" collapsedLevelsAreSubtotals="1" fieldPosition="0"/>
    </format>
    <format dxfId="414">
      <pivotArea type="origin" dataOnly="0" labelOnly="1" outline="0" fieldPosition="0"/>
    </format>
    <format dxfId="413">
      <pivotArea field="2" type="button" dataOnly="0" labelOnly="1" outline="0" axis="axisCol" fieldPosition="0"/>
    </format>
    <format dxfId="412">
      <pivotArea type="topRight" dataOnly="0" labelOnly="1" outline="0" fieldPosition="0"/>
    </format>
    <format dxfId="411">
      <pivotArea field="0" type="button" dataOnly="0" labelOnly="1" outline="0" axis="axisRow" fieldPosition="0"/>
    </format>
    <format dxfId="410">
      <pivotArea dataOnly="0" labelOnly="1" fieldPosition="0">
        <references count="1">
          <reference field="0" count="0"/>
        </references>
      </pivotArea>
    </format>
    <format dxfId="409">
      <pivotArea dataOnly="0" labelOnly="1" grandRow="1" outline="0" fieldPosition="0"/>
    </format>
    <format dxfId="408">
      <pivotArea dataOnly="0" labelOnly="1" fieldPosition="0">
        <references count="1">
          <reference field="2" count="0"/>
        </references>
      </pivotArea>
    </format>
    <format dxfId="407">
      <pivotArea dataOnly="0" labelOnly="1" grandCol="1" outline="0" fieldPosition="0"/>
    </format>
    <format dxfId="406">
      <pivotArea type="all" dataOnly="0" outline="0" fieldPosition="0"/>
    </format>
    <format dxfId="405">
      <pivotArea outline="0" collapsedLevelsAreSubtotals="1" fieldPosition="0"/>
    </format>
    <format dxfId="404">
      <pivotArea type="origin" dataOnly="0" labelOnly="1" outline="0" fieldPosition="0"/>
    </format>
    <format dxfId="403">
      <pivotArea field="2" type="button" dataOnly="0" labelOnly="1" outline="0" axis="axisCol" fieldPosition="0"/>
    </format>
    <format dxfId="402">
      <pivotArea type="topRight" dataOnly="0" labelOnly="1" outline="0" fieldPosition="0"/>
    </format>
    <format dxfId="401">
      <pivotArea field="0" type="button" dataOnly="0" labelOnly="1" outline="0" axis="axisRow" fieldPosition="0"/>
    </format>
    <format dxfId="400">
      <pivotArea dataOnly="0" labelOnly="1" fieldPosition="0">
        <references count="1">
          <reference field="0" count="0"/>
        </references>
      </pivotArea>
    </format>
    <format dxfId="399">
      <pivotArea dataOnly="0" labelOnly="1" grandRow="1" outline="0" fieldPosition="0"/>
    </format>
    <format dxfId="398">
      <pivotArea dataOnly="0" labelOnly="1" fieldPosition="0">
        <references count="1">
          <reference field="2" count="0"/>
        </references>
      </pivotArea>
    </format>
    <format dxfId="397">
      <pivotArea dataOnly="0" labelOnly="1" grandCol="1" outline="0" fieldPosition="0"/>
    </format>
    <format dxfId="396">
      <pivotArea type="topRight" dataOnly="0" labelOnly="1" outline="0" fieldPosition="0"/>
    </format>
    <format dxfId="395">
      <pivotArea dataOnly="0" labelOnly="1" fieldPosition="0">
        <references count="1">
          <reference field="2" count="1">
            <x v="5"/>
          </reference>
        </references>
      </pivotArea>
    </format>
  </formats>
  <chartFormats count="2">
    <chartFormat chart="2" format="4" series="1">
      <pivotArea type="data" outline="0" fieldPosition="0">
        <references count="2">
          <reference field="4294967294" count="1" selected="0">
            <x v="0"/>
          </reference>
          <reference field="2" count="1" selected="0">
            <x v="3"/>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0E133B-78B2-4892-8E40-E725F6CABB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
    <pivotField axis="axisRow" showAll="0">
      <items count="11">
        <item x="9"/>
        <item x="2"/>
        <item x="6"/>
        <item x="1"/>
        <item x="4"/>
        <item x="3"/>
        <item x="5"/>
        <item x="0"/>
        <item x="7"/>
        <item x="8"/>
        <item t="default"/>
      </items>
    </pivotField>
    <pivotField dataField="1" showAll="0">
      <items count="11">
        <item x="3"/>
        <item x="6"/>
        <item x="7"/>
        <item x="8"/>
        <item x="9"/>
        <item x="0"/>
        <item x="5"/>
        <item x="4"/>
        <item x="1"/>
        <item x="2"/>
        <item t="default"/>
      </items>
    </pivotField>
  </pivotFields>
  <rowFields count="1">
    <field x="0"/>
  </rowFields>
  <rowItems count="11">
    <i>
      <x/>
    </i>
    <i>
      <x v="1"/>
    </i>
    <i>
      <x v="2"/>
    </i>
    <i>
      <x v="3"/>
    </i>
    <i>
      <x v="4"/>
    </i>
    <i>
      <x v="5"/>
    </i>
    <i>
      <x v="6"/>
    </i>
    <i>
      <x v="7"/>
    </i>
    <i>
      <x v="8"/>
    </i>
    <i>
      <x v="9"/>
    </i>
    <i t="grand">
      <x/>
    </i>
  </rowItems>
  <colItems count="1">
    <i/>
  </colItems>
  <dataFields count="1">
    <dataField name="Average of Average GDP Growth (2010–2025)" fld="1" subtotal="average" baseField="0" baseItem="0"/>
  </dataFields>
  <formats count="12">
    <format dxfId="428">
      <pivotArea type="all" dataOnly="0" outline="0" fieldPosition="0"/>
    </format>
    <format dxfId="427">
      <pivotArea outline="0" collapsedLevelsAreSubtotals="1" fieldPosition="0"/>
    </format>
    <format dxfId="426">
      <pivotArea field="0" type="button" dataOnly="0" labelOnly="1" outline="0" axis="axisRow" fieldPosition="0"/>
    </format>
    <format dxfId="425">
      <pivotArea dataOnly="0" labelOnly="1" fieldPosition="0">
        <references count="1">
          <reference field="0" count="0"/>
        </references>
      </pivotArea>
    </format>
    <format dxfId="424">
      <pivotArea dataOnly="0" labelOnly="1" grandRow="1" outline="0" fieldPosition="0"/>
    </format>
    <format dxfId="423">
      <pivotArea dataOnly="0" labelOnly="1" outline="0" axis="axisValues" fieldPosition="0"/>
    </format>
    <format dxfId="422">
      <pivotArea type="all" dataOnly="0" outline="0" fieldPosition="0"/>
    </format>
    <format dxfId="421">
      <pivotArea outline="0" collapsedLevelsAreSubtotals="1" fieldPosition="0"/>
    </format>
    <format dxfId="420">
      <pivotArea field="0" type="button" dataOnly="0" labelOnly="1" outline="0" axis="axisRow" fieldPosition="0"/>
    </format>
    <format dxfId="419">
      <pivotArea dataOnly="0" labelOnly="1" fieldPosition="0">
        <references count="1">
          <reference field="0" count="0"/>
        </references>
      </pivotArea>
    </format>
    <format dxfId="418">
      <pivotArea dataOnly="0" labelOnly="1" grandRow="1" outline="0" fieldPosition="0"/>
    </format>
    <format dxfId="4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CDC937-5D65-4FCA-8BA4-6E2FC4BAC8A7}" autoFormatId="16" applyNumberFormats="0" applyBorderFormats="0" applyFontFormats="0" applyPatternFormats="0" applyAlignmentFormats="0" applyWidthHeightFormats="0">
  <queryTableRefresh nextId="8" unboundColumnsRight="1">
    <queryTableFields count="7">
      <queryTableField id="1" name="Country Name" tableColumnId="1"/>
      <queryTableField id="2" name="Country Code" tableColumnId="2"/>
      <queryTableField id="3" name="Series Name" tableColumnId="3"/>
      <queryTableField id="4" name="Series Code" tableColumnId="4"/>
      <queryTableField id="5" name="Years" tableColumnId="5"/>
      <queryTableField id="6" name="Value"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B100CFDE-C3BA-49BB-AB69-A392AA2F908A}" sourceName="Country Name">
  <pivotTables>
    <pivotTable tabId="5" name="PivotTable7"/>
    <pivotTable tabId="5" name="PivotTable10"/>
    <pivotTable tabId="5" name="PivotTable3"/>
    <pivotTable tabId="5" name="PivotTable4"/>
    <pivotTable tabId="5" name="PivotTable5"/>
    <pivotTable tabId="5" name="PivotTable9"/>
  </pivotTables>
  <data>
    <tabular pivotCacheId="1823683546">
      <items count="10">
        <i x="9" s="1"/>
        <i x="2" s="1"/>
        <i x="6" s="1"/>
        <i x="1" s="1"/>
        <i x="4" s="1"/>
        <i x="3" s="1"/>
        <i x="5" s="1"/>
        <i x="0"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32FCAD24-CB6E-4C14-919C-EA0C8E72010E}" cache="Slicer_Country_Name" caption="Country Nam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F99E9A-1867-4622-A6E5-B0202C81CD63}" name="Table1" displayName="Table1" ref="A1:T101" totalsRowShown="0">
  <autoFilter ref="A1:T101" xr:uid="{35F99E9A-1867-4622-A6E5-B0202C81CD63}"/>
  <tableColumns count="20">
    <tableColumn id="1" xr3:uid="{E73011DF-C616-4F3B-B2D0-EBA4435F716A}" name="Country Name"/>
    <tableColumn id="2" xr3:uid="{7D74D620-178E-4FF8-913D-6E870CE7DC1A}" name="Country Code" dataDxfId="439"/>
    <tableColumn id="3" xr3:uid="{8A1E0628-6DFA-4E48-92B1-1B7FB694804B}" name="Series Name"/>
    <tableColumn id="4" xr3:uid="{02A51A64-5AC0-451E-9243-13A49E3A0B22}" name="Series Code" dataDxfId="438"/>
    <tableColumn id="5" xr3:uid="{3FE0F267-C190-4B6D-BD87-A55BA12FA79A}" name="2010 [YR2010]"/>
    <tableColumn id="6" xr3:uid="{8E1A0FE6-AEAC-4907-80C8-E0E719E8E974}" name="2011 [YR2011]"/>
    <tableColumn id="7" xr3:uid="{87B82068-AB3E-4B8A-855B-85AF29C0B21A}" name="2012 [YR2012]"/>
    <tableColumn id="8" xr3:uid="{FE2883C9-C2C8-48EF-B845-52C4F7AB36A4}" name="2013 [YR2013]"/>
    <tableColumn id="9" xr3:uid="{EDE94B59-27E7-45FA-81F4-A53EB94D95B8}" name="2014 [YR2014]"/>
    <tableColumn id="10" xr3:uid="{8711868C-B8D6-4313-B3F6-9524C82FF774}" name="2015 [YR2015]"/>
    <tableColumn id="11" xr3:uid="{B61AC5A0-94FC-4F03-AFF9-E9625789C523}" name="2016 [YR2016]"/>
    <tableColumn id="12" xr3:uid="{D7584ACD-3DA7-4B2D-B048-8C40E7804EB2}" name="2017 [YR2017]"/>
    <tableColumn id="13" xr3:uid="{3660FDC8-3234-44BF-856A-2DF56DE1F59F}" name="2018 [YR2018]"/>
    <tableColumn id="14" xr3:uid="{1C4E7BDC-ADF5-4D00-8BD3-14F87E779EBE}" name="2019 [YR2019]"/>
    <tableColumn id="15" xr3:uid="{EAA165E6-D760-4A15-8E3A-879CEE2A28C1}" name="2020 [YR2020]"/>
    <tableColumn id="16" xr3:uid="{5D9928D8-F787-40AE-8A41-B3644F7A3501}" name="2021 [YR2021]"/>
    <tableColumn id="17" xr3:uid="{FA0C186D-5C48-4407-97EF-D00EBB1D8BCE}" name="2022 [YR2022]"/>
    <tableColumn id="18" xr3:uid="{AC36111D-B724-49FB-9E18-6AC5A8AD0FB1}" name="2023 [YR2023]"/>
    <tableColumn id="19" xr3:uid="{57C6DB68-9EB9-4150-A6D7-2B7F0525C724}" name="2024 [YR2024]"/>
    <tableColumn id="20" xr3:uid="{80689CC7-251E-4C00-BDBA-5863ED46C264}" name="2025 [YR20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2D117-0CCE-4EBE-8959-9AE9000B4F3B}" name="Table1_1" displayName="Table1_1" ref="A1:G1601" tableType="queryTable" totalsRowShown="0" headerRowDxfId="437" dataDxfId="436">
  <autoFilter ref="A1:G1601" xr:uid="{2BF2D117-0CCE-4EBE-8959-9AE9000B4F3B}"/>
  <tableColumns count="7">
    <tableColumn id="1" xr3:uid="{337882D3-0F27-46CD-8B2F-FE1CB56A5374}" uniqueName="1" name="Country Name" queryTableFieldId="1" dataDxfId="435"/>
    <tableColumn id="2" xr3:uid="{333A4949-5697-4038-BF13-EF7EF01B7B83}" uniqueName="2" name="Country Code" queryTableFieldId="2" dataDxfId="434"/>
    <tableColumn id="3" xr3:uid="{8F158648-B329-4797-8971-9092FB375475}" uniqueName="3" name="Series Name" queryTableFieldId="3" dataDxfId="433"/>
    <tableColumn id="4" xr3:uid="{BD6650FA-ADAE-4FBA-B383-3D85B76203F0}" uniqueName="4" name="Series Code" queryTableFieldId="4" dataDxfId="432"/>
    <tableColumn id="5" xr3:uid="{0E45F3E3-2C5F-41F0-895C-7FE336CE0FE6}" uniqueName="5" name="Years" queryTableFieldId="5" dataDxfId="431"/>
    <tableColumn id="6" xr3:uid="{C4047D3A-B1F2-4198-962C-695530C19F34}" uniqueName="6" name="Value" queryTableFieldId="6" dataDxfId="430"/>
    <tableColumn id="7" xr3:uid="{B465C96B-716C-43D3-9E6E-E8BEC8E2A487}" uniqueName="7" name="Look Up" queryTableFieldId="7" dataDxfId="429">
      <calculatedColumnFormula>Table1_1[[#This Row],[Country Name]]&amp;"|"&amp;Table1_1[[#This Row],[Series Name]]&amp;"|"&amp;Table1_1[[#This Row],[Years]]</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FB826F-C669-4FC3-8B5C-E1D1E9123C07}" name="Table5" displayName="Table5" ref="A3:E4" totalsRowShown="0" headerRowDxfId="316" dataDxfId="315">
  <autoFilter ref="A3:E4" xr:uid="{04FB826F-C669-4FC3-8B5C-E1D1E9123C07}"/>
  <tableColumns count="5">
    <tableColumn id="1" xr3:uid="{FC45DCF1-9056-4AFB-85EE-41E6D1DCFF25}" name="country" dataDxfId="314"/>
    <tableColumn id="2" xr3:uid="{6339B206-CD4E-45D3-84C0-7130F5C2718F}" name="year" dataDxfId="313"/>
    <tableColumn id="3" xr3:uid="{FA32AD20-DD13-40B6-A315-86203F2D4ED1}" name="indicator" dataDxfId="312"/>
    <tableColumn id="4" xr3:uid="{A93D8C8E-5F0A-4A81-8CAB-51820F6EDA93}" name="value" dataDxfId="311">
      <calculatedColumnFormula>SUMIFS(Table1!F:F,Table1!A:A,Analysis!A4,Table1!E:E,Analysis!B4,Table1!C:C,Analysis!C4)</calculatedColumnFormula>
    </tableColumn>
    <tableColumn id="5" xr3:uid="{3720944F-4B1F-48EA-A49C-68988480A8EB}" name="Lookuup" dataDxfId="310">
      <calculatedColumnFormula>A4&amp;"|"&amp;C4&amp;"|"&amp;B4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9E2ABB-62D8-4BD4-9EA3-CAB92520485C}" name="Table6" displayName="Table6" ref="A6:C17" totalsRowShown="0" headerRowDxfId="309" dataDxfId="308">
  <autoFilter ref="A6:C17" xr:uid="{779E2ABB-62D8-4BD4-9EA3-CAB92520485C}"/>
  <tableColumns count="3">
    <tableColumn id="1" xr3:uid="{1A493605-A56C-4AE5-AB65-D2FFC77C9169}" name="Country Comparision" dataDxfId="307"/>
    <tableColumn id="2" xr3:uid="{01E86DA2-14B2-499B-BF45-D356E354D833}" name="Column1" dataDxfId="306">
      <calculatedColumnFormula>IFERROR(AVERAGEIFS(Table1!F:F,Table1!A:A,Analysis!A7,Table1!C:C,"GDP growth (annual %)"),"N/A")</calculatedColumnFormula>
    </tableColumn>
    <tableColumn id="3" xr3:uid="{C90FE943-9257-461D-8F34-557AE4B5A851}" name="Column2" dataDxfId="305">
      <calculatedColumnFormula>COUNTIFS(Table1!A:A,Analysis!A7,Table1!C:C,"GDP growth (annual %)",Table1!F:F,"&gt;5")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0FE96A-475B-4D4B-ACEA-F2AD43B097F9}" name="Table7" displayName="Table7" ref="A1:C2" totalsRowShown="0" headerRowDxfId="304" dataDxfId="303">
  <autoFilter ref="A1:C2" xr:uid="{560FE96A-475B-4D4B-ACEA-F2AD43B097F9}"/>
  <tableColumns count="3">
    <tableColumn id="1" xr3:uid="{E8A27533-43E3-4C79-8CC3-D1170200F2DE}" name="Column1" dataDxfId="302"/>
    <tableColumn id="2" xr3:uid="{1F5F6019-54BB-4F72-919D-FC8253ABAC30}" name="Column2" dataDxfId="301"/>
    <tableColumn id="3" xr3:uid="{8E0A5AA6-77C7-4E38-9C08-F308CF5DE67C}" name="Column3" dataDxfId="3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6"/>
  <sheetViews>
    <sheetView workbookViewId="0">
      <selection activeCell="D21" sqref="D21"/>
    </sheetView>
  </sheetViews>
  <sheetFormatPr defaultRowHeight="14.4" x14ac:dyDescent="0.3"/>
  <cols>
    <col min="1" max="1" width="15.109375" customWidth="1"/>
    <col min="2" max="2" width="14.44140625" customWidth="1"/>
    <col min="3" max="3" width="13.21875" customWidth="1"/>
    <col min="4" max="4" width="12.5546875" customWidth="1"/>
    <col min="5" max="20" width="14.77734375" customWidth="1"/>
  </cols>
  <sheetData>
    <row r="1" spans="1:20" x14ac:dyDescent="0.3">
      <c r="A1" t="s">
        <v>55</v>
      </c>
      <c r="B1" s="1" t="s">
        <v>3</v>
      </c>
      <c r="C1" t="s">
        <v>108</v>
      </c>
      <c r="D1" s="1" t="s">
        <v>53</v>
      </c>
      <c r="E1" t="s">
        <v>104</v>
      </c>
      <c r="F1" t="s">
        <v>43</v>
      </c>
      <c r="G1" t="s">
        <v>132</v>
      </c>
      <c r="H1" t="s">
        <v>69</v>
      </c>
      <c r="I1" t="s">
        <v>12</v>
      </c>
      <c r="J1" t="s">
        <v>95</v>
      </c>
      <c r="K1" t="s">
        <v>38</v>
      </c>
      <c r="L1" t="s">
        <v>125</v>
      </c>
      <c r="M1" t="s">
        <v>64</v>
      </c>
      <c r="N1" t="s">
        <v>5</v>
      </c>
      <c r="O1" t="s">
        <v>15</v>
      </c>
      <c r="P1" t="s">
        <v>96</v>
      </c>
      <c r="Q1" t="s">
        <v>40</v>
      </c>
      <c r="R1" t="s">
        <v>127</v>
      </c>
      <c r="S1" t="s">
        <v>66</v>
      </c>
      <c r="T1" t="s">
        <v>7</v>
      </c>
    </row>
    <row r="2" spans="1:20" x14ac:dyDescent="0.3">
      <c r="A2" t="s">
        <v>39</v>
      </c>
      <c r="B2" s="1" t="s">
        <v>76</v>
      </c>
      <c r="C2" t="s">
        <v>25</v>
      </c>
      <c r="D2" s="1" t="s">
        <v>89</v>
      </c>
      <c r="E2">
        <v>196709621849.58618</v>
      </c>
      <c r="F2">
        <v>230586581059.66541</v>
      </c>
      <c r="G2">
        <v>250106966104.70358</v>
      </c>
      <c r="H2">
        <v>258657231672.41232</v>
      </c>
      <c r="I2">
        <v>271390474857.63217</v>
      </c>
      <c r="J2">
        <v>299963590534.7735</v>
      </c>
      <c r="K2">
        <v>313630000130.43536</v>
      </c>
      <c r="L2">
        <v>339205534861.1001</v>
      </c>
      <c r="M2">
        <v>356128166704.92102</v>
      </c>
      <c r="N2">
        <v>320909472770.6687</v>
      </c>
      <c r="O2">
        <v>300425609817.9812</v>
      </c>
      <c r="P2">
        <v>348516647445.14844</v>
      </c>
      <c r="Q2">
        <v>374890295666.69366</v>
      </c>
      <c r="R2">
        <v>336686348609.26593</v>
      </c>
      <c r="S2">
        <v>371747087751.30609</v>
      </c>
      <c r="T2">
        <v>407307214476.22186</v>
      </c>
    </row>
    <row r="3" spans="1:20" x14ac:dyDescent="0.3">
      <c r="A3" t="s">
        <v>39</v>
      </c>
      <c r="B3" s="1" t="s">
        <v>76</v>
      </c>
      <c r="C3" t="s">
        <v>67</v>
      </c>
      <c r="D3" s="1" t="s">
        <v>24</v>
      </c>
      <c r="E3">
        <v>1.5017175215288319</v>
      </c>
      <c r="F3">
        <v>2.6801168542170473</v>
      </c>
      <c r="G3">
        <v>3.0275839108862925</v>
      </c>
      <c r="H3">
        <v>4.3668650497838684</v>
      </c>
      <c r="I3">
        <v>4.116428171614217</v>
      </c>
      <c r="J3">
        <v>4.2179420957250642</v>
      </c>
      <c r="K3">
        <v>6.5738382851104262</v>
      </c>
      <c r="L3">
        <v>4.4326259068397462</v>
      </c>
      <c r="M3">
        <v>6.1517026109951871</v>
      </c>
      <c r="N3">
        <v>2.4976369294336536</v>
      </c>
      <c r="O3">
        <v>-1.2740874433870886</v>
      </c>
      <c r="P3">
        <v>6.5138857585270244</v>
      </c>
      <c r="Q3">
        <v>4.7781068690357955</v>
      </c>
      <c r="R3">
        <v>-0.41493599708840634</v>
      </c>
      <c r="S3">
        <v>3.0817629557930104</v>
      </c>
      <c r="T3">
        <v>3.6984266874903255</v>
      </c>
    </row>
    <row r="4" spans="1:20" x14ac:dyDescent="0.3">
      <c r="A4" t="s">
        <v>39</v>
      </c>
      <c r="B4" s="1" t="s">
        <v>76</v>
      </c>
      <c r="C4" t="s">
        <v>79</v>
      </c>
      <c r="D4" s="1" t="s">
        <v>91</v>
      </c>
      <c r="E4">
        <v>12.938870563488919</v>
      </c>
      <c r="F4">
        <v>11.9160927116277</v>
      </c>
      <c r="G4">
        <v>9.6823518605568388</v>
      </c>
      <c r="H4">
        <v>7.6921561189956469</v>
      </c>
      <c r="I4">
        <v>7.1893840284702764</v>
      </c>
      <c r="J4">
        <v>2.5293281725422858</v>
      </c>
      <c r="K4">
        <v>3.7651191635658048</v>
      </c>
      <c r="L4">
        <v>4.0853736803260796</v>
      </c>
      <c r="M4">
        <v>5.0780572586891681</v>
      </c>
      <c r="N4">
        <v>10.578030567202481</v>
      </c>
      <c r="O4">
        <v>9.7401161932012545</v>
      </c>
      <c r="P4">
        <v>9.4964157728520515</v>
      </c>
      <c r="Q4">
        <v>19.873859964665549</v>
      </c>
      <c r="R4">
        <v>30.76812806570052</v>
      </c>
      <c r="S4">
        <v>12.63253185304518</v>
      </c>
      <c r="T4">
        <v>3.5455521489089281</v>
      </c>
    </row>
    <row r="5" spans="1:20" x14ac:dyDescent="0.3">
      <c r="A5" t="s">
        <v>39</v>
      </c>
      <c r="B5" s="1" t="s">
        <v>76</v>
      </c>
      <c r="C5" t="s">
        <v>146</v>
      </c>
      <c r="D5" s="1" t="s">
        <v>131</v>
      </c>
      <c r="E5">
        <v>0.65300000000000002</v>
      </c>
      <c r="F5">
        <v>0.79600000000000004</v>
      </c>
      <c r="G5">
        <v>3.6669999999999998</v>
      </c>
      <c r="H5">
        <v>2.9540000000000002</v>
      </c>
      <c r="I5">
        <v>1.827</v>
      </c>
      <c r="J5">
        <v>3.5659999999999998</v>
      </c>
      <c r="K5">
        <v>2.2850000000000001</v>
      </c>
      <c r="L5">
        <v>3.2040000000000002</v>
      </c>
      <c r="M5">
        <v>4.0830000000000002</v>
      </c>
      <c r="N5">
        <v>4.83</v>
      </c>
      <c r="O5">
        <v>5.9939999999999998</v>
      </c>
      <c r="P5">
        <v>6.3380000000000001</v>
      </c>
      <c r="Q5">
        <v>5.2910000000000004</v>
      </c>
      <c r="R5">
        <v>5.2370000000000001</v>
      </c>
      <c r="S5">
        <v>5.492</v>
      </c>
      <c r="T5">
        <v>5.42</v>
      </c>
    </row>
    <row r="6" spans="1:20" x14ac:dyDescent="0.3">
      <c r="A6" t="s">
        <v>39</v>
      </c>
      <c r="B6" s="1" t="s">
        <v>76</v>
      </c>
      <c r="C6" t="s">
        <v>34</v>
      </c>
      <c r="D6" s="1" t="s">
        <v>17</v>
      </c>
      <c r="E6">
        <v>14.0425</v>
      </c>
      <c r="F6">
        <v>14.419166666666699</v>
      </c>
      <c r="G6">
        <v>13.519166666666701</v>
      </c>
      <c r="H6">
        <v>11.9858333333333</v>
      </c>
      <c r="I6">
        <v>11.73</v>
      </c>
      <c r="J6">
        <v>10.1558333333333</v>
      </c>
      <c r="K6">
        <v>8.7550000000000008</v>
      </c>
      <c r="L6">
        <v>8.2100000000000009</v>
      </c>
      <c r="M6">
        <v>8.5308333333333408</v>
      </c>
      <c r="N6">
        <v>12.233054804152999</v>
      </c>
      <c r="O6">
        <v>10.757749426799901</v>
      </c>
      <c r="P6">
        <v>8.6659742147252405</v>
      </c>
      <c r="Q6" t="s">
        <v>58</v>
      </c>
      <c r="R6" t="s">
        <v>58</v>
      </c>
      <c r="S6" t="s">
        <v>58</v>
      </c>
      <c r="T6" t="s">
        <v>58</v>
      </c>
    </row>
    <row r="7" spans="1:20" x14ac:dyDescent="0.3">
      <c r="A7" t="s">
        <v>39</v>
      </c>
      <c r="B7" s="1" t="s">
        <v>76</v>
      </c>
      <c r="C7" t="s">
        <v>83</v>
      </c>
      <c r="D7" s="1" t="s">
        <v>72</v>
      </c>
      <c r="E7">
        <v>85.193816325757581</v>
      </c>
      <c r="F7">
        <v>86.343383333333321</v>
      </c>
      <c r="G7">
        <v>93.395197222222222</v>
      </c>
      <c r="H7">
        <v>101.6288992063492</v>
      </c>
      <c r="I7">
        <v>101.100088423521</v>
      </c>
      <c r="J7">
        <v>102.7692716046746</v>
      </c>
      <c r="K7">
        <v>104.769117033301</v>
      </c>
      <c r="L7">
        <v>105.45516208793759</v>
      </c>
      <c r="M7">
        <v>121.8240688757563</v>
      </c>
      <c r="N7">
        <v>150.03625383986429</v>
      </c>
      <c r="O7">
        <v>161.83847968471841</v>
      </c>
      <c r="P7">
        <v>162.90625374741819</v>
      </c>
      <c r="Q7">
        <v>204.8671874699823</v>
      </c>
      <c r="R7">
        <v>280.35611165514899</v>
      </c>
      <c r="S7">
        <v>278.58071616756251</v>
      </c>
      <c r="T7">
        <v>281.14300117320221</v>
      </c>
    </row>
    <row r="8" spans="1:20" x14ac:dyDescent="0.3">
      <c r="A8" t="s">
        <v>39</v>
      </c>
      <c r="B8" s="1" t="s">
        <v>76</v>
      </c>
      <c r="C8" t="s">
        <v>70</v>
      </c>
      <c r="D8" s="1" t="s">
        <v>147</v>
      </c>
      <c r="E8">
        <v>12.63722455929476</v>
      </c>
      <c r="F8">
        <v>13.482554861721709</v>
      </c>
      <c r="G8">
        <v>11.873964147323756</v>
      </c>
      <c r="H8">
        <v>12.177499204069637</v>
      </c>
      <c r="I8">
        <v>11.194971742614598</v>
      </c>
      <c r="J8">
        <v>9.9745709512403575</v>
      </c>
      <c r="K8">
        <v>8.7367163911656789</v>
      </c>
      <c r="L8">
        <v>8.221611343955594</v>
      </c>
      <c r="M8">
        <v>8.5817996055607324</v>
      </c>
      <c r="N8">
        <v>9.3908635386026997</v>
      </c>
      <c r="O8">
        <v>9.298559442347246</v>
      </c>
      <c r="P8">
        <v>9.0515998887818796</v>
      </c>
      <c r="Q8">
        <v>10.540590272104113</v>
      </c>
      <c r="R8">
        <v>10.493958751156445</v>
      </c>
      <c r="S8">
        <v>10.385503133101166</v>
      </c>
      <c r="T8">
        <v>9.985206710421652</v>
      </c>
    </row>
    <row r="9" spans="1:20" x14ac:dyDescent="0.3">
      <c r="A9" t="s">
        <v>39</v>
      </c>
      <c r="B9" s="1" t="s">
        <v>76</v>
      </c>
      <c r="C9" t="s">
        <v>56</v>
      </c>
      <c r="D9" s="1" t="s">
        <v>14</v>
      </c>
      <c r="E9">
        <v>19.351777486936786</v>
      </c>
      <c r="F9">
        <v>18.880083413422092</v>
      </c>
      <c r="G9">
        <v>19.445009128683832</v>
      </c>
      <c r="H9">
        <v>18.712775136114747</v>
      </c>
      <c r="I9">
        <v>18.274853947785189</v>
      </c>
      <c r="J9">
        <v>16.713615065984317</v>
      </c>
      <c r="K9">
        <v>15.964861656891639</v>
      </c>
      <c r="L9">
        <v>17.250423658388385</v>
      </c>
      <c r="M9">
        <v>19.044257474072978</v>
      </c>
      <c r="N9">
        <v>19.514713448100533</v>
      </c>
      <c r="O9">
        <v>17.417721290534121</v>
      </c>
      <c r="P9">
        <v>17.978820523772875</v>
      </c>
      <c r="Q9">
        <v>22.490763205927919</v>
      </c>
      <c r="R9">
        <v>17.973733795827251</v>
      </c>
      <c r="S9">
        <v>17.179827777478305</v>
      </c>
      <c r="T9">
        <v>17.208330668344761</v>
      </c>
    </row>
    <row r="10" spans="1:20" x14ac:dyDescent="0.3">
      <c r="A10" t="s">
        <v>39</v>
      </c>
      <c r="B10" s="1" t="s">
        <v>76</v>
      </c>
      <c r="C10" t="s">
        <v>13</v>
      </c>
      <c r="D10" s="1" t="s">
        <v>123</v>
      </c>
      <c r="E10">
        <v>2022000000</v>
      </c>
      <c r="F10">
        <v>1326000000</v>
      </c>
      <c r="G10">
        <v>859000000</v>
      </c>
      <c r="H10">
        <v>1333000000</v>
      </c>
      <c r="I10">
        <v>1887000000</v>
      </c>
      <c r="J10">
        <v>1673000000</v>
      </c>
      <c r="K10">
        <v>2576000000</v>
      </c>
      <c r="L10">
        <v>2496000000</v>
      </c>
      <c r="M10">
        <v>1737000000</v>
      </c>
      <c r="N10">
        <v>2234000000</v>
      </c>
      <c r="O10">
        <v>2057000000</v>
      </c>
      <c r="P10">
        <v>2147000000</v>
      </c>
      <c r="Q10">
        <v>1462000000</v>
      </c>
      <c r="R10">
        <v>2048000000</v>
      </c>
      <c r="S10">
        <v>2665000000</v>
      </c>
      <c r="T10">
        <v>1852000000</v>
      </c>
    </row>
    <row r="11" spans="1:20" x14ac:dyDescent="0.3">
      <c r="A11" t="s">
        <v>39</v>
      </c>
      <c r="B11" s="1" t="s">
        <v>76</v>
      </c>
      <c r="C11" t="s">
        <v>107</v>
      </c>
      <c r="D11" s="1" t="s">
        <v>106</v>
      </c>
      <c r="E11">
        <v>199239047</v>
      </c>
      <c r="F11">
        <v>203746065</v>
      </c>
      <c r="G11">
        <v>207667125</v>
      </c>
      <c r="H11">
        <v>211073978</v>
      </c>
      <c r="I11">
        <v>214264647</v>
      </c>
      <c r="J11">
        <v>217290883</v>
      </c>
      <c r="K11">
        <v>220138869</v>
      </c>
      <c r="L11">
        <v>223273967</v>
      </c>
      <c r="M11">
        <v>226928892</v>
      </c>
      <c r="N11">
        <v>230800899</v>
      </c>
      <c r="O11">
        <v>235001746</v>
      </c>
      <c r="P11">
        <v>239477801</v>
      </c>
      <c r="Q11">
        <v>243700667</v>
      </c>
      <c r="R11">
        <v>247504495</v>
      </c>
      <c r="S11">
        <v>251269164</v>
      </c>
      <c r="T11">
        <v>255219554</v>
      </c>
    </row>
    <row r="12" spans="1:20" x14ac:dyDescent="0.3">
      <c r="A12" t="s">
        <v>52</v>
      </c>
      <c r="B12" s="1" t="s">
        <v>47</v>
      </c>
      <c r="C12" t="s">
        <v>25</v>
      </c>
      <c r="D12" s="1" t="s">
        <v>89</v>
      </c>
      <c r="E12">
        <v>1675615519484.959</v>
      </c>
      <c r="F12">
        <v>1823051829894.5461</v>
      </c>
      <c r="G12">
        <v>1827637590410.4143</v>
      </c>
      <c r="H12">
        <v>1856721507621.5764</v>
      </c>
      <c r="I12">
        <v>2039126479154.5168</v>
      </c>
      <c r="J12">
        <v>2103588360044.9392</v>
      </c>
      <c r="K12">
        <v>2294796885663.1631</v>
      </c>
      <c r="L12">
        <v>2651474262755.4521</v>
      </c>
      <c r="M12">
        <v>2702929641648.7407</v>
      </c>
      <c r="N12">
        <v>2835606256558.1948</v>
      </c>
      <c r="O12">
        <v>2674851578587.2686</v>
      </c>
      <c r="P12">
        <v>3167270623260.4688</v>
      </c>
      <c r="Q12">
        <v>3249938492013.4712</v>
      </c>
      <c r="R12">
        <v>3500906030644.7642</v>
      </c>
      <c r="S12">
        <v>3760813470500.8564</v>
      </c>
      <c r="T12">
        <v>3956067115771.6313</v>
      </c>
    </row>
    <row r="13" spans="1:20" x14ac:dyDescent="0.3">
      <c r="A13" t="s">
        <v>52</v>
      </c>
      <c r="B13" s="1" t="s">
        <v>47</v>
      </c>
      <c r="C13" t="s">
        <v>67</v>
      </c>
      <c r="D13" s="1" t="s">
        <v>24</v>
      </c>
      <c r="E13">
        <v>8.4975847016562511</v>
      </c>
      <c r="F13">
        <v>5.2413162002429345</v>
      </c>
      <c r="G13">
        <v>5.4563875516477225</v>
      </c>
      <c r="H13">
        <v>6.3861064009171287</v>
      </c>
      <c r="I13">
        <v>7.4102276051697658</v>
      </c>
      <c r="J13">
        <v>7.996253785679869</v>
      </c>
      <c r="K13">
        <v>8.2563055017666187</v>
      </c>
      <c r="L13">
        <v>6.7953834190242191</v>
      </c>
      <c r="M13">
        <v>6.4538513449529518</v>
      </c>
      <c r="N13">
        <v>3.8714369407052374</v>
      </c>
      <c r="O13">
        <v>-5.7777247068730304</v>
      </c>
      <c r="P13">
        <v>9.6895924919174092</v>
      </c>
      <c r="Q13">
        <v>7.609364977693204</v>
      </c>
      <c r="R13">
        <v>7.2102246293350021</v>
      </c>
      <c r="S13">
        <v>7.0992789317651841</v>
      </c>
      <c r="T13">
        <v>7.5666617928424387</v>
      </c>
    </row>
    <row r="14" spans="1:20" x14ac:dyDescent="0.3">
      <c r="A14" t="s">
        <v>52</v>
      </c>
      <c r="B14" s="1" t="s">
        <v>47</v>
      </c>
      <c r="C14" t="s">
        <v>79</v>
      </c>
      <c r="D14" s="1" t="s">
        <v>91</v>
      </c>
      <c r="E14">
        <v>11.98938992042449</v>
      </c>
      <c r="F14">
        <v>8.9117933648335992</v>
      </c>
      <c r="G14">
        <v>9.4789969141979267</v>
      </c>
      <c r="H14">
        <v>10.017878474610431</v>
      </c>
      <c r="I14">
        <v>6.6656567186789939</v>
      </c>
      <c r="J14">
        <v>4.9069734412724939</v>
      </c>
      <c r="K14">
        <v>4.9482163406213413</v>
      </c>
      <c r="L14">
        <v>3.3281733746130469</v>
      </c>
      <c r="M14">
        <v>3.9388264669164261</v>
      </c>
      <c r="N14">
        <v>3.729505735391232</v>
      </c>
      <c r="O14">
        <v>6.6234367762852964</v>
      </c>
      <c r="P14">
        <v>5.1314074717636373</v>
      </c>
      <c r="Q14">
        <v>6.6990341407985774</v>
      </c>
      <c r="R14">
        <v>5.6491431890792496</v>
      </c>
      <c r="S14">
        <v>4.9530355097366057</v>
      </c>
      <c r="T14">
        <v>2.3988495418229441</v>
      </c>
    </row>
    <row r="15" spans="1:20" x14ac:dyDescent="0.3">
      <c r="A15" t="s">
        <v>52</v>
      </c>
      <c r="B15" s="1" t="s">
        <v>47</v>
      </c>
      <c r="C15" t="s">
        <v>146</v>
      </c>
      <c r="D15" s="1" t="s">
        <v>131</v>
      </c>
      <c r="E15">
        <v>7.6310000000000002</v>
      </c>
      <c r="F15">
        <v>7.609</v>
      </c>
      <c r="G15">
        <v>7.6449999999999996</v>
      </c>
      <c r="H15">
        <v>7.6779999999999999</v>
      </c>
      <c r="I15">
        <v>7.6559999999999997</v>
      </c>
      <c r="J15">
        <v>7.6289999999999996</v>
      </c>
      <c r="K15">
        <v>7.6109999999999998</v>
      </c>
      <c r="L15">
        <v>7.6260000000000003</v>
      </c>
      <c r="M15">
        <v>7.6520000000000001</v>
      </c>
      <c r="N15">
        <v>6.51</v>
      </c>
      <c r="O15">
        <v>7.859</v>
      </c>
      <c r="P15">
        <v>6.38</v>
      </c>
      <c r="Q15">
        <v>4.8220000000000001</v>
      </c>
      <c r="R15">
        <v>4.1719999999999997</v>
      </c>
      <c r="S15">
        <v>4.173</v>
      </c>
      <c r="T15">
        <v>4.2190000000000003</v>
      </c>
    </row>
    <row r="16" spans="1:20" x14ac:dyDescent="0.3">
      <c r="A16" t="s">
        <v>52</v>
      </c>
      <c r="B16" s="1" t="s">
        <v>47</v>
      </c>
      <c r="C16" t="s">
        <v>34</v>
      </c>
      <c r="D16" s="1" t="s">
        <v>17</v>
      </c>
      <c r="E16">
        <v>8.3333499999999994</v>
      </c>
      <c r="F16">
        <v>10.1666666666667</v>
      </c>
      <c r="G16">
        <v>10.6041666666667</v>
      </c>
      <c r="H16">
        <v>10.2916666666667</v>
      </c>
      <c r="I16">
        <v>10.25</v>
      </c>
      <c r="J16">
        <v>10.008333333333301</v>
      </c>
      <c r="K16">
        <v>9.6724999999999994</v>
      </c>
      <c r="L16">
        <v>9.5083333333333293</v>
      </c>
      <c r="M16">
        <v>9.4541666666666693</v>
      </c>
      <c r="N16">
        <v>9.4662500000000005</v>
      </c>
      <c r="O16">
        <v>9.15</v>
      </c>
      <c r="P16">
        <v>8.6983333333333306</v>
      </c>
      <c r="Q16">
        <v>8.5671428571428603</v>
      </c>
      <c r="R16" t="s">
        <v>58</v>
      </c>
      <c r="S16" t="s">
        <v>58</v>
      </c>
      <c r="T16" t="s">
        <v>58</v>
      </c>
    </row>
    <row r="17" spans="1:20" x14ac:dyDescent="0.3">
      <c r="A17" t="s">
        <v>52</v>
      </c>
      <c r="B17" s="1" t="s">
        <v>47</v>
      </c>
      <c r="C17" t="s">
        <v>83</v>
      </c>
      <c r="D17" s="1" t="s">
        <v>72</v>
      </c>
      <c r="E17">
        <v>45.725812121212122</v>
      </c>
      <c r="F17">
        <v>46.670466666666677</v>
      </c>
      <c r="G17">
        <v>53.437233333333317</v>
      </c>
      <c r="H17">
        <v>58.597845416666679</v>
      </c>
      <c r="I17">
        <v>61.029514460784299</v>
      </c>
      <c r="J17">
        <v>64.151944463278596</v>
      </c>
      <c r="K17">
        <v>67.195312807389385</v>
      </c>
      <c r="L17">
        <v>65.121568645065949</v>
      </c>
      <c r="M17">
        <v>68.389467093542152</v>
      </c>
      <c r="N17">
        <v>70.420340535955077</v>
      </c>
      <c r="O17">
        <v>74.099566883605249</v>
      </c>
      <c r="P17">
        <v>73.918012815435119</v>
      </c>
      <c r="Q17">
        <v>78.604490582991573</v>
      </c>
      <c r="R17">
        <v>82.599276446078449</v>
      </c>
      <c r="S17">
        <v>83.669281580941004</v>
      </c>
      <c r="T17">
        <v>87.15844835073932</v>
      </c>
    </row>
    <row r="18" spans="1:20" x14ac:dyDescent="0.3">
      <c r="A18" t="s">
        <v>52</v>
      </c>
      <c r="B18" s="1" t="s">
        <v>47</v>
      </c>
      <c r="C18" t="s">
        <v>70</v>
      </c>
      <c r="D18" s="1" t="s">
        <v>147</v>
      </c>
      <c r="E18">
        <v>22.400933248794491</v>
      </c>
      <c r="F18">
        <v>24.540411319571291</v>
      </c>
      <c r="G18">
        <v>24.534430661417986</v>
      </c>
      <c r="H18">
        <v>25.430861300519041</v>
      </c>
      <c r="I18">
        <v>22.967963008117241</v>
      </c>
      <c r="J18">
        <v>19.813189156404547</v>
      </c>
      <c r="K18">
        <v>19.158234910594622</v>
      </c>
      <c r="L18">
        <v>18.791764839298228</v>
      </c>
      <c r="M18">
        <v>19.927828598856166</v>
      </c>
      <c r="N18">
        <v>18.664264897257034</v>
      </c>
      <c r="O18">
        <v>18.682476929675566</v>
      </c>
      <c r="P18">
        <v>21.399158330551472</v>
      </c>
      <c r="Q18">
        <v>24.040171636595637</v>
      </c>
      <c r="R18">
        <v>22.354801966733017</v>
      </c>
      <c r="S18">
        <v>22.063981635439902</v>
      </c>
      <c r="T18">
        <v>22.263041066980399</v>
      </c>
    </row>
    <row r="19" spans="1:20" x14ac:dyDescent="0.3">
      <c r="A19" t="s">
        <v>52</v>
      </c>
      <c r="B19" s="1" t="s">
        <v>47</v>
      </c>
      <c r="C19" t="s">
        <v>56</v>
      </c>
      <c r="D19" s="1" t="s">
        <v>14</v>
      </c>
      <c r="E19">
        <v>26.854273248621642</v>
      </c>
      <c r="F19">
        <v>31.083468693958476</v>
      </c>
      <c r="G19">
        <v>31.259291067333162</v>
      </c>
      <c r="H19">
        <v>28.413270646158683</v>
      </c>
      <c r="I19">
        <v>25.954222738949667</v>
      </c>
      <c r="J19">
        <v>22.109724709460167</v>
      </c>
      <c r="K19">
        <v>20.924250802681399</v>
      </c>
      <c r="L19">
        <v>21.950732115224302</v>
      </c>
      <c r="M19">
        <v>23.689140733532724</v>
      </c>
      <c r="N19">
        <v>21.241138633387159</v>
      </c>
      <c r="O19">
        <v>19.075628399601189</v>
      </c>
      <c r="P19">
        <v>24.023930453493126</v>
      </c>
      <c r="Q19">
        <v>26.657766639208596</v>
      </c>
      <c r="R19">
        <v>23.968150091500824</v>
      </c>
      <c r="S19">
        <v>23.852709132434917</v>
      </c>
      <c r="T19">
        <v>24.005159619010332</v>
      </c>
    </row>
    <row r="20" spans="1:20" x14ac:dyDescent="0.3">
      <c r="A20" t="s">
        <v>52</v>
      </c>
      <c r="B20" s="1" t="s">
        <v>47</v>
      </c>
      <c r="C20" t="s">
        <v>13</v>
      </c>
      <c r="D20" s="1" t="s">
        <v>123</v>
      </c>
      <c r="E20">
        <v>27396885033.783798</v>
      </c>
      <c r="F20">
        <v>36498654597.858902</v>
      </c>
      <c r="G20">
        <v>23995685014.2141</v>
      </c>
      <c r="H20">
        <v>28153031270.320202</v>
      </c>
      <c r="I20">
        <v>34576643694.138199</v>
      </c>
      <c r="J20">
        <v>44009492129.531898</v>
      </c>
      <c r="K20">
        <v>44458571545.797997</v>
      </c>
      <c r="L20">
        <v>39966091358.738403</v>
      </c>
      <c r="M20">
        <v>42117450737.264397</v>
      </c>
      <c r="N20">
        <v>50610647353.591103</v>
      </c>
      <c r="O20">
        <v>64362364994.375397</v>
      </c>
      <c r="P20">
        <v>44727277562.880997</v>
      </c>
      <c r="Q20">
        <v>49940258404.2659</v>
      </c>
      <c r="R20">
        <v>28086193530.3979</v>
      </c>
      <c r="S20">
        <v>27139853378.140202</v>
      </c>
      <c r="T20">
        <v>39097233086.213303</v>
      </c>
    </row>
    <row r="21" spans="1:20" x14ac:dyDescent="0.3">
      <c r="A21" t="s">
        <v>52</v>
      </c>
      <c r="B21" s="1" t="s">
        <v>47</v>
      </c>
      <c r="C21" t="s">
        <v>107</v>
      </c>
      <c r="D21" s="1" t="s">
        <v>106</v>
      </c>
      <c r="E21">
        <v>1243481564</v>
      </c>
      <c r="F21">
        <v>1261224954</v>
      </c>
      <c r="G21">
        <v>1278674502</v>
      </c>
      <c r="H21">
        <v>1295829511</v>
      </c>
      <c r="I21">
        <v>1312277191</v>
      </c>
      <c r="J21">
        <v>1328024498</v>
      </c>
      <c r="K21">
        <v>1343944296</v>
      </c>
      <c r="L21">
        <v>1359657400</v>
      </c>
      <c r="M21">
        <v>1374659064</v>
      </c>
      <c r="N21">
        <v>1389030312</v>
      </c>
      <c r="O21">
        <v>1402617695</v>
      </c>
      <c r="P21">
        <v>1414203896</v>
      </c>
      <c r="Q21">
        <v>1425423212</v>
      </c>
      <c r="R21">
        <v>1438069596</v>
      </c>
      <c r="S21">
        <v>1450935791</v>
      </c>
      <c r="T21">
        <v>1463865525</v>
      </c>
    </row>
    <row r="22" spans="1:20" x14ac:dyDescent="0.3">
      <c r="A22" t="s">
        <v>44</v>
      </c>
      <c r="B22" s="1" t="s">
        <v>30</v>
      </c>
      <c r="C22" t="s">
        <v>25</v>
      </c>
      <c r="D22" s="1" t="s">
        <v>89</v>
      </c>
      <c r="E22">
        <v>6192564874453.29</v>
      </c>
      <c r="F22">
        <v>7671757207851.2891</v>
      </c>
      <c r="G22">
        <v>8673664713189.2441</v>
      </c>
      <c r="H22">
        <v>9743124247267.2441</v>
      </c>
      <c r="I22">
        <v>10674533168257.361</v>
      </c>
      <c r="J22">
        <v>11280814787468.914</v>
      </c>
      <c r="K22">
        <v>11456024084961.979</v>
      </c>
      <c r="L22">
        <v>12537559062282.92</v>
      </c>
      <c r="M22">
        <v>14147765772963.76</v>
      </c>
      <c r="N22">
        <v>14560167101283.439</v>
      </c>
      <c r="O22">
        <v>14996414166715.092</v>
      </c>
      <c r="P22">
        <v>18201698719563.961</v>
      </c>
      <c r="Q22">
        <v>18316765021690.156</v>
      </c>
      <c r="R22">
        <v>18270356654533.215</v>
      </c>
      <c r="S22">
        <v>18729668435847.992</v>
      </c>
      <c r="T22">
        <v>19498039388042.609</v>
      </c>
    </row>
    <row r="23" spans="1:20" x14ac:dyDescent="0.3">
      <c r="A23" t="s">
        <v>44</v>
      </c>
      <c r="B23" s="1" t="s">
        <v>30</v>
      </c>
      <c r="C23" t="s">
        <v>67</v>
      </c>
      <c r="D23" s="1" t="s">
        <v>24</v>
      </c>
      <c r="E23">
        <v>10.591690388570441</v>
      </c>
      <c r="F23">
        <v>9.4620524829818606</v>
      </c>
      <c r="G23">
        <v>7.8578201481217036</v>
      </c>
      <c r="H23">
        <v>7.7784295475725713</v>
      </c>
      <c r="I23">
        <v>7.4610073577816109</v>
      </c>
      <c r="J23">
        <v>6.9816225556236731</v>
      </c>
      <c r="K23">
        <v>6.7736886867727009</v>
      </c>
      <c r="L23">
        <v>6.8912391663619132</v>
      </c>
      <c r="M23">
        <v>6.7578061423240001</v>
      </c>
      <c r="N23">
        <v>6.0673780633367187</v>
      </c>
      <c r="O23">
        <v>2.3395038520302336</v>
      </c>
      <c r="P23">
        <v>8.5703841498178122</v>
      </c>
      <c r="Q23">
        <v>3.1338543839406867</v>
      </c>
      <c r="R23">
        <v>5.4160033449295497</v>
      </c>
      <c r="S23">
        <v>4.958303787880908</v>
      </c>
      <c r="T23">
        <v>4.9599488624099166</v>
      </c>
    </row>
    <row r="24" spans="1:20" x14ac:dyDescent="0.3">
      <c r="A24" t="s">
        <v>44</v>
      </c>
      <c r="B24" s="1" t="s">
        <v>30</v>
      </c>
      <c r="C24" t="s">
        <v>79</v>
      </c>
      <c r="D24" s="1" t="s">
        <v>91</v>
      </c>
      <c r="E24">
        <v>3.1753247526919912</v>
      </c>
      <c r="F24">
        <v>5.5538989225749322</v>
      </c>
      <c r="G24">
        <v>2.619524326455406</v>
      </c>
      <c r="H24">
        <v>2.621050017481148</v>
      </c>
      <c r="I24">
        <v>1.921641627885208</v>
      </c>
      <c r="J24">
        <v>1.4370238093565479</v>
      </c>
      <c r="K24">
        <v>2.000001821919434</v>
      </c>
      <c r="L24">
        <v>1.593136000714356</v>
      </c>
      <c r="M24">
        <v>2.0747903996557602</v>
      </c>
      <c r="N24">
        <v>2.8992341635822672</v>
      </c>
      <c r="O24">
        <v>2.4194218945778232</v>
      </c>
      <c r="P24">
        <v>0.98101513554488162</v>
      </c>
      <c r="Q24">
        <v>1.9735755573905061</v>
      </c>
      <c r="R24">
        <v>0.2348368288930508</v>
      </c>
      <c r="S24">
        <v>0.21812893843917719</v>
      </c>
      <c r="T24">
        <v>5.9564691656540263E-2</v>
      </c>
    </row>
    <row r="25" spans="1:20" x14ac:dyDescent="0.3">
      <c r="A25" t="s">
        <v>44</v>
      </c>
      <c r="B25" s="1" t="s">
        <v>30</v>
      </c>
      <c r="C25" t="s">
        <v>146</v>
      </c>
      <c r="D25" s="1" t="s">
        <v>131</v>
      </c>
      <c r="E25">
        <v>4.53</v>
      </c>
      <c r="F25">
        <v>4.55</v>
      </c>
      <c r="G25">
        <v>4.58</v>
      </c>
      <c r="H25">
        <v>4.5999999999999996</v>
      </c>
      <c r="I25">
        <v>4.63</v>
      </c>
      <c r="J25">
        <v>4.6500000000000004</v>
      </c>
      <c r="K25">
        <v>4.5599999999999996</v>
      </c>
      <c r="L25">
        <v>4.47</v>
      </c>
      <c r="M25">
        <v>4.3099999999999996</v>
      </c>
      <c r="N25">
        <v>4.5599999999999996</v>
      </c>
      <c r="O25">
        <v>5</v>
      </c>
      <c r="P25">
        <v>4.55</v>
      </c>
      <c r="Q25">
        <v>4.9800000000000004</v>
      </c>
      <c r="R25">
        <v>4.67</v>
      </c>
      <c r="S25">
        <v>4.59</v>
      </c>
      <c r="T25">
        <v>4.6150000000000002</v>
      </c>
    </row>
    <row r="26" spans="1:20" x14ac:dyDescent="0.3">
      <c r="A26" t="s">
        <v>44</v>
      </c>
      <c r="B26" s="1" t="s">
        <v>30</v>
      </c>
      <c r="C26" t="s">
        <v>34</v>
      </c>
      <c r="D26" s="1" t="s">
        <v>17</v>
      </c>
      <c r="E26">
        <v>5.81</v>
      </c>
      <c r="F26">
        <v>6.56</v>
      </c>
      <c r="G26">
        <v>6</v>
      </c>
      <c r="H26">
        <v>6</v>
      </c>
      <c r="I26">
        <v>5.6</v>
      </c>
      <c r="J26">
        <v>4.3499999999999996</v>
      </c>
      <c r="K26">
        <v>4.3499999999999996</v>
      </c>
      <c r="L26">
        <v>4.3499999999999996</v>
      </c>
      <c r="M26">
        <v>4.3499999999999996</v>
      </c>
      <c r="N26">
        <v>4.3499999999999996</v>
      </c>
      <c r="O26">
        <v>4.3499999999999996</v>
      </c>
      <c r="P26">
        <v>4.3499999999999996</v>
      </c>
      <c r="Q26">
        <v>4.3499999999999996</v>
      </c>
      <c r="R26">
        <v>4.3499999999999996</v>
      </c>
      <c r="S26">
        <v>4.3499999999999996</v>
      </c>
      <c r="T26" t="s">
        <v>58</v>
      </c>
    </row>
    <row r="27" spans="1:20" x14ac:dyDescent="0.3">
      <c r="A27" t="s">
        <v>44</v>
      </c>
      <c r="B27" s="1" t="s">
        <v>30</v>
      </c>
      <c r="C27" t="s">
        <v>83</v>
      </c>
      <c r="D27" s="1" t="s">
        <v>72</v>
      </c>
      <c r="E27">
        <v>6.7702690287093947</v>
      </c>
      <c r="F27">
        <v>6.4614613265500704</v>
      </c>
      <c r="G27">
        <v>6.3123328268318621</v>
      </c>
      <c r="H27">
        <v>6.19575834608231</v>
      </c>
      <c r="I27">
        <v>6.1434340944886703</v>
      </c>
      <c r="J27">
        <v>6.2274886729845482</v>
      </c>
      <c r="K27">
        <v>6.6444778294468048</v>
      </c>
      <c r="L27">
        <v>6.758755086335972</v>
      </c>
      <c r="M27">
        <v>6.6159571773543924</v>
      </c>
      <c r="N27">
        <v>6.9083850099290123</v>
      </c>
      <c r="O27">
        <v>6.9007672694492479</v>
      </c>
      <c r="P27">
        <v>6.4489751802431599</v>
      </c>
      <c r="Q27">
        <v>6.7371581123711879</v>
      </c>
      <c r="R27">
        <v>7.0839984234363076</v>
      </c>
      <c r="S27">
        <v>7.1974911078991681</v>
      </c>
      <c r="T27">
        <v>7.1898473740217099</v>
      </c>
    </row>
    <row r="28" spans="1:20" x14ac:dyDescent="0.3">
      <c r="A28" t="s">
        <v>44</v>
      </c>
      <c r="B28" s="1" t="s">
        <v>30</v>
      </c>
      <c r="C28" t="s">
        <v>70</v>
      </c>
      <c r="D28" s="1" t="s">
        <v>147</v>
      </c>
      <c r="E28">
        <v>26.72274515024688</v>
      </c>
      <c r="F28">
        <v>26.151882894875932</v>
      </c>
      <c r="G28">
        <v>25.076704329560012</v>
      </c>
      <c r="H28">
        <v>24.163343090585368</v>
      </c>
      <c r="I28">
        <v>23.071976694726256</v>
      </c>
      <c r="J28">
        <v>20.939064223432641</v>
      </c>
      <c r="K28">
        <v>19.203650736541192</v>
      </c>
      <c r="L28">
        <v>19.335630165772759</v>
      </c>
      <c r="M28">
        <v>18.770519802938026</v>
      </c>
      <c r="N28">
        <v>18.139822286405312</v>
      </c>
      <c r="O28">
        <v>18.269601380505101</v>
      </c>
      <c r="P28">
        <v>19.435055651490899</v>
      </c>
      <c r="Q28">
        <v>20.227756033041029</v>
      </c>
      <c r="R28">
        <v>19.402309164837643</v>
      </c>
      <c r="S28">
        <v>20.442828366589119</v>
      </c>
      <c r="T28">
        <v>21.071198356677236</v>
      </c>
    </row>
    <row r="29" spans="1:20" x14ac:dyDescent="0.3">
      <c r="A29" t="s">
        <v>44</v>
      </c>
      <c r="B29" s="1" t="s">
        <v>30</v>
      </c>
      <c r="C29" t="s">
        <v>56</v>
      </c>
      <c r="D29" s="1" t="s">
        <v>14</v>
      </c>
      <c r="E29">
        <v>23.131327083650863</v>
      </c>
      <c r="F29">
        <v>23.793944330488376</v>
      </c>
      <c r="G29">
        <v>22.403508748871712</v>
      </c>
      <c r="H29">
        <v>21.752698288971747</v>
      </c>
      <c r="I29">
        <v>20.996479786526915</v>
      </c>
      <c r="J29">
        <v>17.758120612829824</v>
      </c>
      <c r="K29">
        <v>16.973519956436803</v>
      </c>
      <c r="L29">
        <v>17.615222450087202</v>
      </c>
      <c r="M29">
        <v>18.12386458853382</v>
      </c>
      <c r="N29">
        <v>17.314612741735434</v>
      </c>
      <c r="O29">
        <v>16.068177093378903</v>
      </c>
      <c r="P29">
        <v>17.207823312884482</v>
      </c>
      <c r="Q29">
        <v>17.284799645130011</v>
      </c>
      <c r="R29">
        <v>17.336840529001755</v>
      </c>
      <c r="S29">
        <v>17.513231770665268</v>
      </c>
      <c r="T29">
        <v>16.885189508553946</v>
      </c>
    </row>
    <row r="30" spans="1:20" x14ac:dyDescent="0.3">
      <c r="A30" t="s">
        <v>44</v>
      </c>
      <c r="B30" s="1" t="s">
        <v>30</v>
      </c>
      <c r="C30" t="s">
        <v>13</v>
      </c>
      <c r="D30" s="1" t="s">
        <v>123</v>
      </c>
      <c r="E30">
        <v>243703434558.177</v>
      </c>
      <c r="F30">
        <v>280072219149.93402</v>
      </c>
      <c r="G30">
        <v>241213868161.42001</v>
      </c>
      <c r="H30">
        <v>290928431467.00299</v>
      </c>
      <c r="I30">
        <v>268097181064.33499</v>
      </c>
      <c r="J30">
        <v>242489331627.39801</v>
      </c>
      <c r="K30">
        <v>174749584584.04999</v>
      </c>
      <c r="L30">
        <v>166083755721.64801</v>
      </c>
      <c r="M30">
        <v>235365050036.341</v>
      </c>
      <c r="N30">
        <v>187169822364.755</v>
      </c>
      <c r="O30">
        <v>253095616058.57999</v>
      </c>
      <c r="P30">
        <v>344074977062.47998</v>
      </c>
      <c r="Q30">
        <v>190203789092.51001</v>
      </c>
      <c r="R30">
        <v>51338076801.589996</v>
      </c>
      <c r="S30">
        <v>42646542014.57</v>
      </c>
      <c r="T30">
        <v>79979865650.020004</v>
      </c>
    </row>
    <row r="31" spans="1:20" x14ac:dyDescent="0.3">
      <c r="A31" t="s">
        <v>44</v>
      </c>
      <c r="B31" s="1" t="s">
        <v>30</v>
      </c>
      <c r="C31" t="s">
        <v>107</v>
      </c>
      <c r="D31" s="1" t="s">
        <v>106</v>
      </c>
      <c r="E31">
        <v>1337705000</v>
      </c>
      <c r="F31">
        <v>1345035000</v>
      </c>
      <c r="G31">
        <v>1354190000</v>
      </c>
      <c r="H31">
        <v>1363240000</v>
      </c>
      <c r="I31">
        <v>1371860000</v>
      </c>
      <c r="J31">
        <v>1379860000</v>
      </c>
      <c r="K31">
        <v>1387790000</v>
      </c>
      <c r="L31">
        <v>1396215000</v>
      </c>
      <c r="M31">
        <v>1402760000</v>
      </c>
      <c r="N31">
        <v>1407745000</v>
      </c>
      <c r="O31">
        <v>1411100000</v>
      </c>
      <c r="P31">
        <v>1412360000</v>
      </c>
      <c r="Q31">
        <v>1412175000</v>
      </c>
      <c r="R31">
        <v>1410710000</v>
      </c>
      <c r="S31">
        <v>1408975000</v>
      </c>
      <c r="T31">
        <v>1406585000</v>
      </c>
    </row>
    <row r="32" spans="1:20" x14ac:dyDescent="0.3">
      <c r="A32" t="s">
        <v>9</v>
      </c>
      <c r="B32" s="1" t="s">
        <v>50</v>
      </c>
      <c r="C32" t="s">
        <v>25</v>
      </c>
      <c r="D32" s="1" t="s">
        <v>89</v>
      </c>
      <c r="E32">
        <v>5811578109447.0684</v>
      </c>
      <c r="F32">
        <v>6279422550218.7021</v>
      </c>
      <c r="G32">
        <v>6333803928787.7559</v>
      </c>
      <c r="H32">
        <v>5272297037396.9639</v>
      </c>
      <c r="I32">
        <v>4985763289560.8086</v>
      </c>
      <c r="J32">
        <v>4534438580494.9404</v>
      </c>
      <c r="K32">
        <v>5110357383254.4355</v>
      </c>
      <c r="L32">
        <v>5038231631660.707</v>
      </c>
      <c r="M32">
        <v>5154293721629.5557</v>
      </c>
      <c r="N32">
        <v>5245755000479.0254</v>
      </c>
      <c r="O32">
        <v>5189197543645.3838</v>
      </c>
      <c r="P32">
        <v>5225933520753.0967</v>
      </c>
      <c r="Q32">
        <v>4447976207314.7832</v>
      </c>
      <c r="R32">
        <v>4384854269961.9277</v>
      </c>
      <c r="S32">
        <v>4190008188358.5737</v>
      </c>
      <c r="T32">
        <v>4435162999976.9414</v>
      </c>
    </row>
    <row r="33" spans="1:20" x14ac:dyDescent="0.3">
      <c r="A33" t="s">
        <v>9</v>
      </c>
      <c r="B33" s="1" t="s">
        <v>50</v>
      </c>
      <c r="C33" t="s">
        <v>67</v>
      </c>
      <c r="D33" s="1" t="s">
        <v>24</v>
      </c>
      <c r="E33">
        <v>4.1364558922223864</v>
      </c>
      <c r="F33">
        <v>-0.20035785332981959</v>
      </c>
      <c r="G33">
        <v>1.6489345298122515</v>
      </c>
      <c r="H33">
        <v>1.9972765339926468</v>
      </c>
      <c r="I33">
        <v>0.90591548606586514</v>
      </c>
      <c r="J33">
        <v>1.7999773578347487</v>
      </c>
      <c r="K33">
        <v>0.70498649511125677</v>
      </c>
      <c r="L33">
        <v>1.6234506224544134</v>
      </c>
      <c r="M33">
        <v>0.83414384596558477</v>
      </c>
      <c r="N33">
        <v>-0.30849692114325933</v>
      </c>
      <c r="O33">
        <v>-4.2832794267557261</v>
      </c>
      <c r="P33">
        <v>3.5641953147447509</v>
      </c>
      <c r="Q33">
        <v>1.3316475065374078</v>
      </c>
      <c r="R33">
        <v>0.72078530474981051</v>
      </c>
      <c r="S33">
        <v>-0.24008423604169593</v>
      </c>
      <c r="T33">
        <v>1.1931128844459948</v>
      </c>
    </row>
    <row r="34" spans="1:20" x14ac:dyDescent="0.3">
      <c r="A34" t="s">
        <v>9</v>
      </c>
      <c r="B34" s="1" t="s">
        <v>50</v>
      </c>
      <c r="C34" t="s">
        <v>79</v>
      </c>
      <c r="D34" s="1" t="s">
        <v>91</v>
      </c>
      <c r="E34">
        <v>-0.72824320751777882</v>
      </c>
      <c r="F34">
        <v>-0.27245561610124008</v>
      </c>
      <c r="G34">
        <v>-4.4064510443260187E-2</v>
      </c>
      <c r="H34">
        <v>0.33503791218474138</v>
      </c>
      <c r="I34">
        <v>2.7592267135325308</v>
      </c>
      <c r="J34">
        <v>0.79527963057983919</v>
      </c>
      <c r="K34">
        <v>-0.12725884448975369</v>
      </c>
      <c r="L34">
        <v>0.48419979612638508</v>
      </c>
      <c r="M34">
        <v>0.98909459802184796</v>
      </c>
      <c r="N34">
        <v>0.4687761593839499</v>
      </c>
      <c r="O34">
        <v>-2.4995834027731041E-2</v>
      </c>
      <c r="P34">
        <v>-0.2333527793982636</v>
      </c>
      <c r="Q34">
        <v>2.497702781722547</v>
      </c>
      <c r="R34">
        <v>3.2681336593316348</v>
      </c>
      <c r="S34">
        <v>2.7385368163524069</v>
      </c>
      <c r="T34">
        <v>3.1725303426024771</v>
      </c>
    </row>
    <row r="35" spans="1:20" x14ac:dyDescent="0.3">
      <c r="A35" t="s">
        <v>9</v>
      </c>
      <c r="B35" s="1" t="s">
        <v>50</v>
      </c>
      <c r="C35" t="s">
        <v>146</v>
      </c>
      <c r="D35" s="1" t="s">
        <v>131</v>
      </c>
      <c r="E35">
        <v>5.1020000000000003</v>
      </c>
      <c r="F35">
        <v>4.55</v>
      </c>
      <c r="G35">
        <v>4.3579999999999997</v>
      </c>
      <c r="H35">
        <v>4.0380000000000003</v>
      </c>
      <c r="I35">
        <v>3.589</v>
      </c>
      <c r="J35">
        <v>3.3849999999999998</v>
      </c>
      <c r="K35">
        <v>3.1320000000000001</v>
      </c>
      <c r="L35">
        <v>2.8220000000000001</v>
      </c>
      <c r="M35">
        <v>2.4670000000000001</v>
      </c>
      <c r="N35">
        <v>2.351</v>
      </c>
      <c r="O35">
        <v>2.8090000000000002</v>
      </c>
      <c r="P35">
        <v>2.8079999999999998</v>
      </c>
      <c r="Q35">
        <v>2.6139999999999999</v>
      </c>
      <c r="R35">
        <v>2.6</v>
      </c>
      <c r="S35">
        <v>2.5</v>
      </c>
      <c r="T35">
        <v>2.4510000000000001</v>
      </c>
    </row>
    <row r="36" spans="1:20" x14ac:dyDescent="0.3">
      <c r="A36" t="s">
        <v>9</v>
      </c>
      <c r="B36" s="1" t="s">
        <v>50</v>
      </c>
      <c r="C36" t="s">
        <v>34</v>
      </c>
      <c r="D36" s="1" t="s">
        <v>17</v>
      </c>
      <c r="E36">
        <v>1.5983333333333329</v>
      </c>
      <c r="F36">
        <v>1.5009166666666669</v>
      </c>
      <c r="G36">
        <v>1.4075</v>
      </c>
      <c r="H36">
        <v>1.30375</v>
      </c>
      <c r="I36">
        <v>1.219166666666667</v>
      </c>
      <c r="J36">
        <v>1.1428333333333329</v>
      </c>
      <c r="K36">
        <v>1.0447500000000001</v>
      </c>
      <c r="L36">
        <v>0.99399999999999999</v>
      </c>
      <c r="M36" t="s">
        <v>58</v>
      </c>
      <c r="N36" t="s">
        <v>58</v>
      </c>
      <c r="O36" t="s">
        <v>58</v>
      </c>
      <c r="P36" t="s">
        <v>58</v>
      </c>
      <c r="Q36" t="s">
        <v>58</v>
      </c>
      <c r="R36" t="s">
        <v>58</v>
      </c>
      <c r="S36" t="s">
        <v>58</v>
      </c>
      <c r="T36" t="s">
        <v>58</v>
      </c>
    </row>
    <row r="37" spans="1:20" x14ac:dyDescent="0.3">
      <c r="A37" t="s">
        <v>9</v>
      </c>
      <c r="B37" s="1" t="s">
        <v>50</v>
      </c>
      <c r="C37" t="s">
        <v>83</v>
      </c>
      <c r="D37" s="1" t="s">
        <v>72</v>
      </c>
      <c r="E37">
        <v>87.779875000000004</v>
      </c>
      <c r="F37">
        <v>79.807019832189184</v>
      </c>
      <c r="G37">
        <v>79.790455417006498</v>
      </c>
      <c r="H37">
        <v>97.59565827763852</v>
      </c>
      <c r="I37">
        <v>105.9447810340245</v>
      </c>
      <c r="J37">
        <v>121.0440256840111</v>
      </c>
      <c r="K37">
        <v>108.79290004683421</v>
      </c>
      <c r="L37">
        <v>112.1661410818712</v>
      </c>
      <c r="M37">
        <v>110.42317934106021</v>
      </c>
      <c r="N37">
        <v>109.0096659008632</v>
      </c>
      <c r="O37">
        <v>106.77458226243721</v>
      </c>
      <c r="P37">
        <v>109.7543238394172</v>
      </c>
      <c r="Q37">
        <v>131.4981404437639</v>
      </c>
      <c r="R37">
        <v>140.49110006234019</v>
      </c>
      <c r="S37">
        <v>151.36629130275179</v>
      </c>
      <c r="T37">
        <v>149.65792689095181</v>
      </c>
    </row>
    <row r="38" spans="1:20" x14ac:dyDescent="0.3">
      <c r="A38" t="s">
        <v>9</v>
      </c>
      <c r="B38" s="1" t="s">
        <v>50</v>
      </c>
      <c r="C38" t="s">
        <v>70</v>
      </c>
      <c r="D38" s="1" t="s">
        <v>147</v>
      </c>
      <c r="E38">
        <v>14.78273790154695</v>
      </c>
      <c r="F38">
        <v>14.664526222108703</v>
      </c>
      <c r="G38">
        <v>14.273915458377518</v>
      </c>
      <c r="H38">
        <v>15.603709081255529</v>
      </c>
      <c r="I38">
        <v>17.107862774215679</v>
      </c>
      <c r="J38">
        <v>17.092109978615937</v>
      </c>
      <c r="K38">
        <v>15.722396112312415</v>
      </c>
      <c r="L38">
        <v>17.215825339441782</v>
      </c>
      <c r="M38">
        <v>17.91114347886818</v>
      </c>
      <c r="N38">
        <v>17.037797418149893</v>
      </c>
      <c r="O38">
        <v>15.128690298631376</v>
      </c>
      <c r="P38">
        <v>17.461985379957905</v>
      </c>
      <c r="Q38">
        <v>20.647867347032982</v>
      </c>
      <c r="R38">
        <v>21.059310134359684</v>
      </c>
      <c r="S38">
        <v>21.97990936984608</v>
      </c>
      <c r="T38" t="s">
        <v>58</v>
      </c>
    </row>
    <row r="39" spans="1:20" x14ac:dyDescent="0.3">
      <c r="A39" t="s">
        <v>9</v>
      </c>
      <c r="B39" s="1" t="s">
        <v>50</v>
      </c>
      <c r="C39" t="s">
        <v>56</v>
      </c>
      <c r="D39" s="1" t="s">
        <v>14</v>
      </c>
      <c r="E39">
        <v>13.45727718451969</v>
      </c>
      <c r="F39">
        <v>15.30685913373854</v>
      </c>
      <c r="G39">
        <v>15.900384089425501</v>
      </c>
      <c r="H39">
        <v>17.987660364825178</v>
      </c>
      <c r="I39">
        <v>19.656462247612527</v>
      </c>
      <c r="J39">
        <v>17.635520610013327</v>
      </c>
      <c r="K39">
        <v>14.933883194543021</v>
      </c>
      <c r="L39">
        <v>16.47300833983639</v>
      </c>
      <c r="M39">
        <v>17.892431479381223</v>
      </c>
      <c r="N39">
        <v>17.320499861848983</v>
      </c>
      <c r="O39">
        <v>15.39053239059592</v>
      </c>
      <c r="P39">
        <v>17.96340735409597</v>
      </c>
      <c r="Q39">
        <v>24.212763673007004</v>
      </c>
      <c r="R39">
        <v>22.535773245913774</v>
      </c>
      <c r="S39">
        <v>22.87302948791125</v>
      </c>
      <c r="T39" t="s">
        <v>58</v>
      </c>
    </row>
    <row r="40" spans="1:20" x14ac:dyDescent="0.3">
      <c r="A40" t="s">
        <v>9</v>
      </c>
      <c r="B40" s="1" t="s">
        <v>50</v>
      </c>
      <c r="C40" t="s">
        <v>13</v>
      </c>
      <c r="D40" s="1" t="s">
        <v>123</v>
      </c>
      <c r="E40">
        <v>7440979284.1628504</v>
      </c>
      <c r="F40">
        <v>-850717035.06823802</v>
      </c>
      <c r="G40">
        <v>546962692.19072497</v>
      </c>
      <c r="H40">
        <v>10648441636.2071</v>
      </c>
      <c r="I40">
        <v>19752249424.087002</v>
      </c>
      <c r="J40">
        <v>5252218412.3917103</v>
      </c>
      <c r="K40">
        <v>40954181468.553299</v>
      </c>
      <c r="L40">
        <v>18802251208.1068</v>
      </c>
      <c r="M40">
        <v>25289367857.851799</v>
      </c>
      <c r="N40">
        <v>39960544340.014099</v>
      </c>
      <c r="O40">
        <v>62584719398.091202</v>
      </c>
      <c r="P40">
        <v>35027163875.721298</v>
      </c>
      <c r="Q40">
        <v>48153832744.058601</v>
      </c>
      <c r="R40">
        <v>20007989122.904202</v>
      </c>
      <c r="S40">
        <v>18874093729.400799</v>
      </c>
      <c r="T40">
        <v>45805721094.508202</v>
      </c>
    </row>
    <row r="41" spans="1:20" x14ac:dyDescent="0.3">
      <c r="A41" t="s">
        <v>9</v>
      </c>
      <c r="B41" s="1" t="s">
        <v>50</v>
      </c>
      <c r="C41" t="s">
        <v>107</v>
      </c>
      <c r="D41" s="1" t="s">
        <v>106</v>
      </c>
      <c r="E41">
        <v>128070000</v>
      </c>
      <c r="F41">
        <v>127833000</v>
      </c>
      <c r="G41">
        <v>127629000</v>
      </c>
      <c r="H41">
        <v>127445000</v>
      </c>
      <c r="I41">
        <v>127276000</v>
      </c>
      <c r="J41">
        <v>127141000</v>
      </c>
      <c r="K41">
        <v>127076000</v>
      </c>
      <c r="L41">
        <v>126972000</v>
      </c>
      <c r="M41">
        <v>126811000</v>
      </c>
      <c r="N41">
        <v>126633000</v>
      </c>
      <c r="O41">
        <v>126261000</v>
      </c>
      <c r="P41">
        <v>125681593</v>
      </c>
      <c r="Q41">
        <v>125124989</v>
      </c>
      <c r="R41">
        <v>124516650</v>
      </c>
      <c r="S41">
        <v>123975371</v>
      </c>
      <c r="T41">
        <v>123366734</v>
      </c>
    </row>
    <row r="42" spans="1:20" x14ac:dyDescent="0.3">
      <c r="A42" t="s">
        <v>102</v>
      </c>
      <c r="B42" s="1" t="s">
        <v>143</v>
      </c>
      <c r="C42" t="s">
        <v>25</v>
      </c>
      <c r="D42" s="1" t="s">
        <v>89</v>
      </c>
      <c r="E42">
        <v>755094157621.93555</v>
      </c>
      <c r="F42">
        <v>892969104563.17126</v>
      </c>
      <c r="G42">
        <v>917869913332.64856</v>
      </c>
      <c r="H42">
        <v>912524136718.01819</v>
      </c>
      <c r="I42">
        <v>890814755533.53687</v>
      </c>
      <c r="J42">
        <v>860854232686.21387</v>
      </c>
      <c r="K42">
        <v>931877364037.69751</v>
      </c>
      <c r="L42">
        <v>1015618744159.7339</v>
      </c>
      <c r="M42">
        <v>1042271532988.6317</v>
      </c>
      <c r="N42">
        <v>1119099871350.1992</v>
      </c>
      <c r="O42">
        <v>1059054842698.4821</v>
      </c>
      <c r="P42">
        <v>1186509691086.7307</v>
      </c>
      <c r="Q42">
        <v>1319101183380.1516</v>
      </c>
      <c r="R42">
        <v>1371166925749.8774</v>
      </c>
      <c r="S42">
        <v>1396301788461.6938</v>
      </c>
      <c r="T42">
        <v>1445642584163.8086</v>
      </c>
    </row>
    <row r="43" spans="1:20" x14ac:dyDescent="0.3">
      <c r="A43" t="s">
        <v>102</v>
      </c>
      <c r="B43" s="1" t="s">
        <v>143</v>
      </c>
      <c r="C43" t="s">
        <v>67</v>
      </c>
      <c r="D43" s="1" t="s">
        <v>24</v>
      </c>
      <c r="E43">
        <v>6.2238541806236611</v>
      </c>
      <c r="F43">
        <v>6.1697842077100802</v>
      </c>
      <c r="G43">
        <v>6.0300506530561506</v>
      </c>
      <c r="H43">
        <v>5.5572636889100977</v>
      </c>
      <c r="I43">
        <v>5.0066684257549952</v>
      </c>
      <c r="J43">
        <v>4.8763223002212328</v>
      </c>
      <c r="K43">
        <v>5.0330691828017677</v>
      </c>
      <c r="L43">
        <v>5.0697859013491637</v>
      </c>
      <c r="M43">
        <v>5.1742915395502393</v>
      </c>
      <c r="N43">
        <v>5.0192876804628241</v>
      </c>
      <c r="O43">
        <v>-2.065511829341645</v>
      </c>
      <c r="P43">
        <v>3.7028856282775138</v>
      </c>
      <c r="Q43">
        <v>5.3071972266479861</v>
      </c>
      <c r="R43">
        <v>5.0488311785551616</v>
      </c>
      <c r="S43">
        <v>5.0325747708851907</v>
      </c>
      <c r="T43">
        <v>5.1080890443802502</v>
      </c>
    </row>
    <row r="44" spans="1:20" x14ac:dyDescent="0.3">
      <c r="A44" t="s">
        <v>102</v>
      </c>
      <c r="B44" s="1" t="s">
        <v>143</v>
      </c>
      <c r="C44" t="s">
        <v>79</v>
      </c>
      <c r="D44" s="1" t="s">
        <v>91</v>
      </c>
      <c r="E44">
        <v>5.1342063901588544</v>
      </c>
      <c r="F44">
        <v>5.3560484911258213</v>
      </c>
      <c r="G44">
        <v>4.2795142691943049</v>
      </c>
      <c r="H44">
        <v>6.4124945790039112</v>
      </c>
      <c r="I44">
        <v>6.3949288239655928</v>
      </c>
      <c r="J44">
        <v>6.3631206119664627</v>
      </c>
      <c r="K44">
        <v>3.5258045281545121</v>
      </c>
      <c r="L44">
        <v>3.808798576919489</v>
      </c>
      <c r="M44">
        <v>3.1983475592499611</v>
      </c>
      <c r="N44">
        <v>3.0305846094166058</v>
      </c>
      <c r="O44">
        <v>1.919835272707928</v>
      </c>
      <c r="P44">
        <v>1.5600788298333439</v>
      </c>
      <c r="Q44">
        <v>4.2094646371478417</v>
      </c>
      <c r="R44">
        <v>3.6693865485976112</v>
      </c>
      <c r="S44">
        <v>2.181512736151888</v>
      </c>
      <c r="T44">
        <v>1.9133344329507951</v>
      </c>
    </row>
    <row r="45" spans="1:20" x14ac:dyDescent="0.3">
      <c r="A45" t="s">
        <v>102</v>
      </c>
      <c r="B45" s="1" t="s">
        <v>143</v>
      </c>
      <c r="C45" t="s">
        <v>146</v>
      </c>
      <c r="D45" s="1" t="s">
        <v>131</v>
      </c>
      <c r="E45">
        <v>5.6139999999999999</v>
      </c>
      <c r="F45">
        <v>5.1529999999999996</v>
      </c>
      <c r="G45">
        <v>4.468</v>
      </c>
      <c r="H45">
        <v>4.3360000000000003</v>
      </c>
      <c r="I45">
        <v>4.0490000000000004</v>
      </c>
      <c r="J45">
        <v>4.5140000000000002</v>
      </c>
      <c r="K45">
        <v>4.3010000000000002</v>
      </c>
      <c r="L45">
        <v>3.7829999999999999</v>
      </c>
      <c r="M45">
        <v>4.3869999999999996</v>
      </c>
      <c r="N45">
        <v>3.59</v>
      </c>
      <c r="O45">
        <v>4.2549999999999999</v>
      </c>
      <c r="P45">
        <v>3.827</v>
      </c>
      <c r="Q45">
        <v>3.4620000000000002</v>
      </c>
      <c r="R45">
        <v>3.3079999999999998</v>
      </c>
      <c r="S45">
        <v>3.3010000000000002</v>
      </c>
      <c r="T45">
        <v>3.2370000000000001</v>
      </c>
    </row>
    <row r="46" spans="1:20" x14ac:dyDescent="0.3">
      <c r="A46" t="s">
        <v>102</v>
      </c>
      <c r="B46" s="1" t="s">
        <v>143</v>
      </c>
      <c r="C46" t="s">
        <v>34</v>
      </c>
      <c r="D46" s="1" t="s">
        <v>17</v>
      </c>
      <c r="E46">
        <v>13.25166666666666</v>
      </c>
      <c r="F46">
        <v>12.40333333333334</v>
      </c>
      <c r="G46">
        <v>11.795</v>
      </c>
      <c r="H46">
        <v>11.657500000000001</v>
      </c>
      <c r="I46">
        <v>12.605</v>
      </c>
      <c r="J46">
        <v>12.6625</v>
      </c>
      <c r="K46">
        <v>11.888333333333341</v>
      </c>
      <c r="L46">
        <v>11.073333333333331</v>
      </c>
      <c r="M46">
        <v>10.536666666666671</v>
      </c>
      <c r="N46">
        <v>10.36583333333334</v>
      </c>
      <c r="O46">
        <v>9.5441666666666674</v>
      </c>
      <c r="P46">
        <v>8.9224999999999994</v>
      </c>
      <c r="Q46">
        <v>8.5199999999999978</v>
      </c>
      <c r="R46">
        <v>8.9266666666666676</v>
      </c>
      <c r="S46">
        <v>8.795687849271582</v>
      </c>
      <c r="T46">
        <v>8.5015832315901658</v>
      </c>
    </row>
    <row r="47" spans="1:20" x14ac:dyDescent="0.3">
      <c r="A47" t="s">
        <v>102</v>
      </c>
      <c r="B47" s="1" t="s">
        <v>143</v>
      </c>
      <c r="C47" t="s">
        <v>83</v>
      </c>
      <c r="D47" s="1" t="s">
        <v>72</v>
      </c>
      <c r="E47">
        <v>9090.4333333333325</v>
      </c>
      <c r="F47">
        <v>8770.4333333333325</v>
      </c>
      <c r="G47">
        <v>9386.6291666666675</v>
      </c>
      <c r="H47">
        <v>10461.24</v>
      </c>
      <c r="I47">
        <v>11865.2112962963</v>
      </c>
      <c r="J47">
        <v>13389.41293650793</v>
      </c>
      <c r="K47">
        <v>13308.32680205416</v>
      </c>
      <c r="L47">
        <v>13380.83387888914</v>
      </c>
      <c r="M47">
        <v>14236.93877348179</v>
      </c>
      <c r="N47">
        <v>14147.671360545421</v>
      </c>
      <c r="O47">
        <v>14582.203467817741</v>
      </c>
      <c r="P47">
        <v>14308.143901189689</v>
      </c>
      <c r="Q47">
        <v>14849.85393621048</v>
      </c>
      <c r="R47">
        <v>15236.884662050619</v>
      </c>
      <c r="S47">
        <v>15855.44828667106</v>
      </c>
      <c r="T47">
        <v>16477.865179783559</v>
      </c>
    </row>
    <row r="48" spans="1:20" x14ac:dyDescent="0.3">
      <c r="A48" t="s">
        <v>102</v>
      </c>
      <c r="B48" s="1" t="s">
        <v>143</v>
      </c>
      <c r="C48" t="s">
        <v>70</v>
      </c>
      <c r="D48" s="1" t="s">
        <v>147</v>
      </c>
      <c r="E48">
        <v>24.299030936640783</v>
      </c>
      <c r="F48">
        <v>26.327353088883598</v>
      </c>
      <c r="G48">
        <v>24.594378788176869</v>
      </c>
      <c r="H48">
        <v>23.92357637936048</v>
      </c>
      <c r="I48">
        <v>23.665984596936681</v>
      </c>
      <c r="J48">
        <v>21.160179259805858</v>
      </c>
      <c r="K48">
        <v>19.088993853666448</v>
      </c>
      <c r="L48">
        <v>20.177304435110599</v>
      </c>
      <c r="M48">
        <v>21.002746497245457</v>
      </c>
      <c r="N48">
        <v>18.591527797088286</v>
      </c>
      <c r="O48">
        <v>17.3311682848923</v>
      </c>
      <c r="P48">
        <v>21.416555639065315</v>
      </c>
      <c r="Q48">
        <v>24.502911686283209</v>
      </c>
      <c r="R48">
        <v>21.808563219756198</v>
      </c>
      <c r="S48">
        <v>22.309648770260569</v>
      </c>
      <c r="T48">
        <v>22.846548298785788</v>
      </c>
    </row>
    <row r="49" spans="1:20" x14ac:dyDescent="0.3">
      <c r="A49" t="s">
        <v>102</v>
      </c>
      <c r="B49" s="1" t="s">
        <v>143</v>
      </c>
      <c r="C49" t="s">
        <v>56</v>
      </c>
      <c r="D49" s="1" t="s">
        <v>14</v>
      </c>
      <c r="E49">
        <v>22.402242939232924</v>
      </c>
      <c r="F49">
        <v>23.852660095226774</v>
      </c>
      <c r="G49">
        <v>24.988519511085833</v>
      </c>
      <c r="H49">
        <v>24.713796295928798</v>
      </c>
      <c r="I49">
        <v>24.414190988586029</v>
      </c>
      <c r="J49">
        <v>20.777460981723518</v>
      </c>
      <c r="K49">
        <v>18.33234794866538</v>
      </c>
      <c r="L49">
        <v>19.178192635349987</v>
      </c>
      <c r="M49">
        <v>22.071562457954698</v>
      </c>
      <c r="N49">
        <v>19.036249738622523</v>
      </c>
      <c r="O49">
        <v>15.641007115350442</v>
      </c>
      <c r="P49">
        <v>18.788202635901825</v>
      </c>
      <c r="Q49">
        <v>20.961758509662111</v>
      </c>
      <c r="R49">
        <v>19.651913324967101</v>
      </c>
      <c r="S49">
        <v>20.500289100561439</v>
      </c>
      <c r="T49">
        <v>20.544658752334634</v>
      </c>
    </row>
    <row r="50" spans="1:20" x14ac:dyDescent="0.3">
      <c r="A50" t="s">
        <v>102</v>
      </c>
      <c r="B50" s="1" t="s">
        <v>143</v>
      </c>
      <c r="C50" t="s">
        <v>13</v>
      </c>
      <c r="D50" s="1" t="s">
        <v>123</v>
      </c>
      <c r="E50">
        <v>15292009410.509899</v>
      </c>
      <c r="F50">
        <v>20564938226.718498</v>
      </c>
      <c r="G50">
        <v>21200778607.872601</v>
      </c>
      <c r="H50">
        <v>23281742361.530499</v>
      </c>
      <c r="I50">
        <v>25120732059.513401</v>
      </c>
      <c r="J50">
        <v>19779127976.9576</v>
      </c>
      <c r="K50">
        <v>4541713739.23769</v>
      </c>
      <c r="L50">
        <v>20510310832.446899</v>
      </c>
      <c r="M50">
        <v>18909826043.510502</v>
      </c>
      <c r="N50">
        <v>24993551748.0098</v>
      </c>
      <c r="O50">
        <v>19175077747.807701</v>
      </c>
      <c r="P50">
        <v>21213080329.8582</v>
      </c>
      <c r="Q50">
        <v>24702029705.092602</v>
      </c>
      <c r="R50">
        <v>21543358781.382801</v>
      </c>
      <c r="S50">
        <v>24275445280.2272</v>
      </c>
      <c r="T50">
        <v>22283231891.839199</v>
      </c>
    </row>
    <row r="51" spans="1:20" x14ac:dyDescent="0.3">
      <c r="A51" t="s">
        <v>102</v>
      </c>
      <c r="B51" s="1" t="s">
        <v>143</v>
      </c>
      <c r="C51" t="s">
        <v>107</v>
      </c>
      <c r="D51" s="1" t="s">
        <v>106</v>
      </c>
      <c r="E51">
        <v>246305322</v>
      </c>
      <c r="F51">
        <v>249470032</v>
      </c>
      <c r="G51">
        <v>252698525</v>
      </c>
      <c r="H51">
        <v>255852467</v>
      </c>
      <c r="I51">
        <v>258877399</v>
      </c>
      <c r="J51">
        <v>261799249</v>
      </c>
      <c r="K51">
        <v>264627418</v>
      </c>
      <c r="L51">
        <v>267346658</v>
      </c>
      <c r="M51">
        <v>269951846</v>
      </c>
      <c r="N51">
        <v>272489381</v>
      </c>
      <c r="O51">
        <v>274814866</v>
      </c>
      <c r="P51">
        <v>276758053</v>
      </c>
      <c r="Q51">
        <v>278830529</v>
      </c>
      <c r="R51">
        <v>281190067</v>
      </c>
      <c r="S51">
        <v>283487931</v>
      </c>
      <c r="T51">
        <v>285721236</v>
      </c>
    </row>
    <row r="52" spans="1:20" x14ac:dyDescent="0.3">
      <c r="A52" t="s">
        <v>98</v>
      </c>
      <c r="B52" s="1" t="s">
        <v>92</v>
      </c>
      <c r="C52" t="s">
        <v>25</v>
      </c>
      <c r="D52" s="1" t="s">
        <v>89</v>
      </c>
      <c r="E52">
        <v>255017638455.58969</v>
      </c>
      <c r="F52">
        <v>297951668674.83466</v>
      </c>
      <c r="G52">
        <v>314443047642.11096</v>
      </c>
      <c r="H52">
        <v>323276235524.41534</v>
      </c>
      <c r="I52">
        <v>338066095097.25439</v>
      </c>
      <c r="J52">
        <v>301355266964.94733</v>
      </c>
      <c r="K52">
        <v>301256033870.33356</v>
      </c>
      <c r="L52">
        <v>319109094160.34308</v>
      </c>
      <c r="M52">
        <v>358788845712.52972</v>
      </c>
      <c r="N52">
        <v>365177721021.51611</v>
      </c>
      <c r="O52">
        <v>337456163961.21118</v>
      </c>
      <c r="P52">
        <v>373784553029.9776</v>
      </c>
      <c r="Q52">
        <v>407830525989.55347</v>
      </c>
      <c r="R52">
        <v>399949418752.65729</v>
      </c>
      <c r="S52">
        <v>422227005428.68805</v>
      </c>
      <c r="T52">
        <v>472193128644.59729</v>
      </c>
    </row>
    <row r="53" spans="1:20" x14ac:dyDescent="0.3">
      <c r="A53" t="s">
        <v>98</v>
      </c>
      <c r="B53" s="1" t="s">
        <v>92</v>
      </c>
      <c r="C53" t="s">
        <v>67</v>
      </c>
      <c r="D53" s="1" t="s">
        <v>24</v>
      </c>
      <c r="E53">
        <v>7.4248473832609676</v>
      </c>
      <c r="F53">
        <v>5.2939128341400306</v>
      </c>
      <c r="G53">
        <v>5.4734541925385258</v>
      </c>
      <c r="H53">
        <v>4.6937225255789343</v>
      </c>
      <c r="I53">
        <v>6.0067219455820293</v>
      </c>
      <c r="J53">
        <v>5.091532421550113</v>
      </c>
      <c r="K53">
        <v>4.4497813976154106</v>
      </c>
      <c r="L53">
        <v>5.8127224098332846</v>
      </c>
      <c r="M53">
        <v>4.8430869763488147</v>
      </c>
      <c r="N53">
        <v>4.4131874212958593</v>
      </c>
      <c r="O53">
        <v>-5.4568465842670122</v>
      </c>
      <c r="P53">
        <v>3.3153495439916583</v>
      </c>
      <c r="Q53">
        <v>9.0317372304445058</v>
      </c>
      <c r="R53">
        <v>3.5370638041056992</v>
      </c>
      <c r="S53">
        <v>5.1054592102404115</v>
      </c>
      <c r="T53">
        <v>5.1712708291105685</v>
      </c>
    </row>
    <row r="54" spans="1:20" x14ac:dyDescent="0.3">
      <c r="A54" t="s">
        <v>98</v>
      </c>
      <c r="B54" s="1" t="s">
        <v>92</v>
      </c>
      <c r="C54" t="s">
        <v>79</v>
      </c>
      <c r="D54" s="1" t="s">
        <v>91</v>
      </c>
      <c r="E54">
        <v>1.6228523557703529</v>
      </c>
      <c r="F54">
        <v>3.1744709215131</v>
      </c>
      <c r="G54">
        <v>1.663571024792059</v>
      </c>
      <c r="H54">
        <v>2.10501231233612</v>
      </c>
      <c r="I54">
        <v>3.142990508790954</v>
      </c>
      <c r="J54">
        <v>2.1043898023835852</v>
      </c>
      <c r="K54">
        <v>2.0905665952574242</v>
      </c>
      <c r="L54">
        <v>3.8712011577423739</v>
      </c>
      <c r="M54">
        <v>0.88470916057123505</v>
      </c>
      <c r="N54">
        <v>0.66289186576432635</v>
      </c>
      <c r="O54">
        <v>-1.1387021539304989</v>
      </c>
      <c r="P54">
        <v>2.477102414654468</v>
      </c>
      <c r="Q54">
        <v>3.3786986254992848</v>
      </c>
      <c r="R54">
        <v>2.488865601257539</v>
      </c>
      <c r="S54">
        <v>1.834100204499002</v>
      </c>
      <c r="T54">
        <v>1.3806087229369191</v>
      </c>
    </row>
    <row r="55" spans="1:20" x14ac:dyDescent="0.3">
      <c r="A55" t="s">
        <v>98</v>
      </c>
      <c r="B55" s="1" t="s">
        <v>92</v>
      </c>
      <c r="C55" t="s">
        <v>146</v>
      </c>
      <c r="D55" s="1" t="s">
        <v>131</v>
      </c>
      <c r="E55">
        <v>3.32</v>
      </c>
      <c r="F55">
        <v>3.05</v>
      </c>
      <c r="G55">
        <v>3.04</v>
      </c>
      <c r="H55">
        <v>3.14</v>
      </c>
      <c r="I55">
        <v>2.88</v>
      </c>
      <c r="J55">
        <v>3.1</v>
      </c>
      <c r="K55">
        <v>3.44</v>
      </c>
      <c r="L55">
        <v>3.41</v>
      </c>
      <c r="M55">
        <v>3.3</v>
      </c>
      <c r="N55">
        <v>3.33</v>
      </c>
      <c r="O55">
        <v>4.54</v>
      </c>
      <c r="P55">
        <v>4.6399999999999997</v>
      </c>
      <c r="Q55">
        <v>3.93</v>
      </c>
      <c r="R55">
        <v>3.8580000000000001</v>
      </c>
      <c r="S55">
        <v>3.8460000000000001</v>
      </c>
      <c r="T55">
        <v>3.7639999999999998</v>
      </c>
    </row>
    <row r="56" spans="1:20" x14ac:dyDescent="0.3">
      <c r="A56" t="s">
        <v>98</v>
      </c>
      <c r="B56" s="1" t="s">
        <v>92</v>
      </c>
      <c r="C56" t="s">
        <v>34</v>
      </c>
      <c r="D56" s="1" t="s">
        <v>17</v>
      </c>
      <c r="E56">
        <v>5</v>
      </c>
      <c r="F56">
        <v>4.915</v>
      </c>
      <c r="G56">
        <v>4.7858333333333318</v>
      </c>
      <c r="H56">
        <v>4.6497999999999999</v>
      </c>
      <c r="I56">
        <v>4.5870249999999997</v>
      </c>
      <c r="J56">
        <v>4.5653750000000004</v>
      </c>
      <c r="K56">
        <v>4.531066666666665</v>
      </c>
      <c r="L56">
        <v>4.6080780864197521</v>
      </c>
      <c r="M56">
        <v>4.9284403846153824</v>
      </c>
      <c r="N56">
        <v>4.8768929487179484</v>
      </c>
      <c r="O56">
        <v>3.944207692346152</v>
      </c>
      <c r="P56">
        <v>3.4441064038461549</v>
      </c>
      <c r="Q56">
        <v>3.9080266666666681</v>
      </c>
      <c r="R56">
        <v>5.3173750064102547</v>
      </c>
      <c r="S56">
        <v>5.2826810000000002</v>
      </c>
      <c r="T56">
        <v>4.8247288611111117</v>
      </c>
    </row>
    <row r="57" spans="1:20" x14ac:dyDescent="0.3">
      <c r="A57" t="s">
        <v>98</v>
      </c>
      <c r="B57" s="1" t="s">
        <v>92</v>
      </c>
      <c r="C57" t="s">
        <v>83</v>
      </c>
      <c r="D57" s="1" t="s">
        <v>72</v>
      </c>
      <c r="E57">
        <v>3.22108691472175</v>
      </c>
      <c r="F57">
        <v>3.0600030105205782</v>
      </c>
      <c r="G57">
        <v>3.0888008666218751</v>
      </c>
      <c r="H57">
        <v>3.1509085500972449</v>
      </c>
      <c r="I57">
        <v>3.2728597464304721</v>
      </c>
      <c r="J57">
        <v>3.9055002630276801</v>
      </c>
      <c r="K57">
        <v>4.1483006628787882</v>
      </c>
      <c r="L57">
        <v>4.3004408776112424</v>
      </c>
      <c r="M57">
        <v>4.0351301370680597</v>
      </c>
      <c r="N57">
        <v>4.1424697356973104</v>
      </c>
      <c r="O57">
        <v>4.2034819485188377</v>
      </c>
      <c r="P57">
        <v>4.1432975981772051</v>
      </c>
      <c r="Q57">
        <v>4.4010763454007202</v>
      </c>
      <c r="R57">
        <v>4.5606234324089749</v>
      </c>
      <c r="S57">
        <v>4.5764279106858048</v>
      </c>
      <c r="T57">
        <v>4.2844241504824323</v>
      </c>
    </row>
    <row r="58" spans="1:20" x14ac:dyDescent="0.3">
      <c r="A58" t="s">
        <v>98</v>
      </c>
      <c r="B58" s="1" t="s">
        <v>92</v>
      </c>
      <c r="C58" t="s">
        <v>70</v>
      </c>
      <c r="D58" s="1" t="s">
        <v>147</v>
      </c>
      <c r="E58">
        <v>86.930295069354329</v>
      </c>
      <c r="F58">
        <v>85.25544210859978</v>
      </c>
      <c r="G58">
        <v>79.299913925531172</v>
      </c>
      <c r="H58">
        <v>75.629041030262684</v>
      </c>
      <c r="I58">
        <v>73.793498625776479</v>
      </c>
      <c r="J58">
        <v>69.44869089707538</v>
      </c>
      <c r="K58">
        <v>66.775445454250786</v>
      </c>
      <c r="L58">
        <v>70.011742508596996</v>
      </c>
      <c r="M58">
        <v>68.55497141968597</v>
      </c>
      <c r="N58">
        <v>65.277766842857559</v>
      </c>
      <c r="O58">
        <v>61.577935905434934</v>
      </c>
      <c r="P58">
        <v>70.633055549333676</v>
      </c>
      <c r="Q58">
        <v>76.807797482584391</v>
      </c>
      <c r="R58">
        <v>68.678953565316817</v>
      </c>
      <c r="S58">
        <v>71.34108498299085</v>
      </c>
      <c r="T58">
        <v>70.967789298694669</v>
      </c>
    </row>
    <row r="59" spans="1:20" x14ac:dyDescent="0.3">
      <c r="A59" t="s">
        <v>98</v>
      </c>
      <c r="B59" s="1" t="s">
        <v>92</v>
      </c>
      <c r="C59" t="s">
        <v>56</v>
      </c>
      <c r="D59" s="1" t="s">
        <v>14</v>
      </c>
      <c r="E59">
        <v>71.014469817416852</v>
      </c>
      <c r="F59">
        <v>69.682242498626252</v>
      </c>
      <c r="G59">
        <v>68.54184084048218</v>
      </c>
      <c r="H59">
        <v>67.091950434610169</v>
      </c>
      <c r="I59">
        <v>64.51873255106679</v>
      </c>
      <c r="J59">
        <v>61.921381548184364</v>
      </c>
      <c r="K59">
        <v>60.123564571449073</v>
      </c>
      <c r="L59">
        <v>63.143430863359143</v>
      </c>
      <c r="M59">
        <v>61.847654082440286</v>
      </c>
      <c r="N59">
        <v>57.750795185085337</v>
      </c>
      <c r="O59">
        <v>55.210246532203541</v>
      </c>
      <c r="P59">
        <v>63.402939141392864</v>
      </c>
      <c r="Q59">
        <v>69.616807271323125</v>
      </c>
      <c r="R59">
        <v>63.914508076282594</v>
      </c>
      <c r="S59">
        <v>66.021486178568225</v>
      </c>
      <c r="T59">
        <v>65.428631024254869</v>
      </c>
    </row>
    <row r="60" spans="1:20" x14ac:dyDescent="0.3">
      <c r="A60" t="s">
        <v>98</v>
      </c>
      <c r="B60" s="1" t="s">
        <v>92</v>
      </c>
      <c r="C60" t="s">
        <v>13</v>
      </c>
      <c r="D60" s="1" t="s">
        <v>123</v>
      </c>
      <c r="E60">
        <v>10885801851.6194</v>
      </c>
      <c r="F60">
        <v>15119439203.9543</v>
      </c>
      <c r="G60">
        <v>8895774250.70401</v>
      </c>
      <c r="H60">
        <v>11296279513.9209</v>
      </c>
      <c r="I60">
        <v>10619431582.9781</v>
      </c>
      <c r="J60">
        <v>9857162111.8232899</v>
      </c>
      <c r="K60">
        <v>13470089920.806999</v>
      </c>
      <c r="L60">
        <v>9368469822.6614494</v>
      </c>
      <c r="M60">
        <v>8304480741.6526604</v>
      </c>
      <c r="N60">
        <v>9154921685.0393391</v>
      </c>
      <c r="O60">
        <v>4058769678.6423101</v>
      </c>
      <c r="P60">
        <v>20245157326.802299</v>
      </c>
      <c r="Q60">
        <v>15027992710.614401</v>
      </c>
      <c r="R60">
        <v>7918601050.2363501</v>
      </c>
      <c r="S60">
        <v>15593246086.766399</v>
      </c>
      <c r="T60" t="s">
        <v>58</v>
      </c>
    </row>
    <row r="61" spans="1:20" x14ac:dyDescent="0.3">
      <c r="A61" t="s">
        <v>98</v>
      </c>
      <c r="B61" s="1" t="s">
        <v>92</v>
      </c>
      <c r="C61" t="s">
        <v>107</v>
      </c>
      <c r="D61" s="1" t="s">
        <v>106</v>
      </c>
      <c r="E61">
        <v>28655776</v>
      </c>
      <c r="F61">
        <v>29162039</v>
      </c>
      <c r="G61">
        <v>29662831</v>
      </c>
      <c r="H61">
        <v>30174265</v>
      </c>
      <c r="I61">
        <v>30696137</v>
      </c>
      <c r="J61">
        <v>31232798</v>
      </c>
      <c r="K61">
        <v>31789685</v>
      </c>
      <c r="L61">
        <v>32355644</v>
      </c>
      <c r="M61">
        <v>32910967</v>
      </c>
      <c r="N61">
        <v>33440596</v>
      </c>
      <c r="O61">
        <v>33889558</v>
      </c>
      <c r="P61">
        <v>34282399</v>
      </c>
      <c r="Q61">
        <v>34695493</v>
      </c>
      <c r="R61">
        <v>35126298</v>
      </c>
      <c r="S61">
        <v>35557673</v>
      </c>
      <c r="T61">
        <v>35977838</v>
      </c>
    </row>
    <row r="62" spans="1:20" x14ac:dyDescent="0.3">
      <c r="A62" t="s">
        <v>149</v>
      </c>
      <c r="B62" s="1" t="s">
        <v>111</v>
      </c>
      <c r="C62" t="s">
        <v>25</v>
      </c>
      <c r="D62" s="1" t="s">
        <v>89</v>
      </c>
      <c r="E62">
        <v>3467093769666.6733</v>
      </c>
      <c r="F62">
        <v>3823575803793.7817</v>
      </c>
      <c r="G62">
        <v>3596483233406.251</v>
      </c>
      <c r="H62">
        <v>3807023797050.9912</v>
      </c>
      <c r="I62">
        <v>3964870735760.7705</v>
      </c>
      <c r="J62">
        <v>3425099578746.0918</v>
      </c>
      <c r="K62">
        <v>3536787895178.9971</v>
      </c>
      <c r="L62">
        <v>3765351626105.8887</v>
      </c>
      <c r="M62">
        <v>4055433215301.958</v>
      </c>
      <c r="N62">
        <v>3959894794039.2095</v>
      </c>
      <c r="O62">
        <v>3941398957073.9409</v>
      </c>
      <c r="P62">
        <v>4355251953410.7827</v>
      </c>
      <c r="Q62">
        <v>4201021706478.6157</v>
      </c>
      <c r="R62">
        <v>4562207532490.2764</v>
      </c>
      <c r="S62">
        <v>4685592577804.6865</v>
      </c>
      <c r="T62">
        <v>5050922925047.0518</v>
      </c>
    </row>
    <row r="63" spans="1:20" x14ac:dyDescent="0.3">
      <c r="A63" t="s">
        <v>149</v>
      </c>
      <c r="B63" s="1" t="s">
        <v>111</v>
      </c>
      <c r="C63" t="s">
        <v>67</v>
      </c>
      <c r="D63" s="1" t="s">
        <v>24</v>
      </c>
      <c r="E63">
        <v>4.1346377852275822</v>
      </c>
      <c r="F63">
        <v>3.7579688448933695</v>
      </c>
      <c r="G63">
        <v>0.46351203670920427</v>
      </c>
      <c r="H63">
        <v>0.39699558377914457</v>
      </c>
      <c r="I63">
        <v>2.1801860216801714</v>
      </c>
      <c r="J63">
        <v>1.6630060233477479</v>
      </c>
      <c r="K63">
        <v>2.2222221625937095</v>
      </c>
      <c r="L63">
        <v>2.7979067205509978</v>
      </c>
      <c r="M63">
        <v>1.1356960459984862</v>
      </c>
      <c r="N63">
        <v>0.97773469703878391</v>
      </c>
      <c r="O63">
        <v>-4.1319144323994692</v>
      </c>
      <c r="P63">
        <v>3.9099999420410825</v>
      </c>
      <c r="Q63">
        <v>1.8092581243060977</v>
      </c>
      <c r="R63">
        <v>-0.86964757857332131</v>
      </c>
      <c r="S63">
        <v>-0.4958518972603656</v>
      </c>
      <c r="T63">
        <v>0.23957834211788054</v>
      </c>
    </row>
    <row r="64" spans="1:20" x14ac:dyDescent="0.3">
      <c r="A64" t="s">
        <v>149</v>
      </c>
      <c r="B64" s="1" t="s">
        <v>111</v>
      </c>
      <c r="C64" t="s">
        <v>79</v>
      </c>
      <c r="D64" s="1" t="s">
        <v>91</v>
      </c>
      <c r="E64">
        <v>1.1038103778926049</v>
      </c>
      <c r="F64">
        <v>2.0751728373587408</v>
      </c>
      <c r="G64">
        <v>2.0084888478295619</v>
      </c>
      <c r="H64">
        <v>1.504723302518763</v>
      </c>
      <c r="I64">
        <v>0.90679400043424585</v>
      </c>
      <c r="J64">
        <v>0.51442613712545615</v>
      </c>
      <c r="K64">
        <v>0.49174700844517449</v>
      </c>
      <c r="L64">
        <v>1.5094948510962829</v>
      </c>
      <c r="M64">
        <v>1.732168797669418</v>
      </c>
      <c r="N64">
        <v>1.4456597688825339</v>
      </c>
      <c r="O64">
        <v>0.1448779258139819</v>
      </c>
      <c r="P64">
        <v>3.0666666666667299</v>
      </c>
      <c r="Q64">
        <v>6.8725743855109682</v>
      </c>
      <c r="R64">
        <v>5.9464366772582347</v>
      </c>
      <c r="S64">
        <v>2.2564981433876019</v>
      </c>
      <c r="T64">
        <v>2.1717877094972131</v>
      </c>
    </row>
    <row r="65" spans="1:20" x14ac:dyDescent="0.3">
      <c r="A65" t="s">
        <v>149</v>
      </c>
      <c r="B65" s="1" t="s">
        <v>111</v>
      </c>
      <c r="C65" t="s">
        <v>146</v>
      </c>
      <c r="D65" s="1" t="s">
        <v>131</v>
      </c>
      <c r="E65">
        <v>7.0430000000000001</v>
      </c>
      <c r="F65">
        <v>5.9669999999999996</v>
      </c>
      <c r="G65">
        <v>5.3719999999999999</v>
      </c>
      <c r="H65">
        <v>5.3159999999999998</v>
      </c>
      <c r="I65">
        <v>4.9790000000000001</v>
      </c>
      <c r="J65">
        <v>4.6120000000000001</v>
      </c>
      <c r="K65">
        <v>4.1040000000000001</v>
      </c>
      <c r="L65">
        <v>3.7810000000000001</v>
      </c>
      <c r="M65">
        <v>3.3839999999999999</v>
      </c>
      <c r="N65">
        <v>3.1629999999999998</v>
      </c>
      <c r="O65">
        <v>3.8809999999999998</v>
      </c>
      <c r="P65">
        <v>3.5939999999999999</v>
      </c>
      <c r="Q65">
        <v>3.137</v>
      </c>
      <c r="R65">
        <v>3.0710000000000002</v>
      </c>
      <c r="S65">
        <v>3.4</v>
      </c>
      <c r="T65">
        <v>3.7109999999999999</v>
      </c>
    </row>
    <row r="66" spans="1:20" x14ac:dyDescent="0.3">
      <c r="A66" t="s">
        <v>149</v>
      </c>
      <c r="B66" s="1" t="s">
        <v>111</v>
      </c>
      <c r="C66" t="s">
        <v>34</v>
      </c>
      <c r="D66" s="1" t="s">
        <v>17</v>
      </c>
      <c r="E66" t="s">
        <v>58</v>
      </c>
      <c r="F66" t="s">
        <v>58</v>
      </c>
      <c r="G66" t="s">
        <v>58</v>
      </c>
      <c r="H66" t="s">
        <v>58</v>
      </c>
      <c r="I66" t="s">
        <v>58</v>
      </c>
      <c r="J66" t="s">
        <v>58</v>
      </c>
      <c r="K66" t="s">
        <v>58</v>
      </c>
      <c r="L66" t="s">
        <v>58</v>
      </c>
      <c r="M66" t="s">
        <v>58</v>
      </c>
      <c r="N66" t="s">
        <v>58</v>
      </c>
      <c r="O66" t="s">
        <v>58</v>
      </c>
      <c r="P66" t="s">
        <v>58</v>
      </c>
      <c r="Q66" t="s">
        <v>58</v>
      </c>
      <c r="R66" t="s">
        <v>58</v>
      </c>
      <c r="S66" t="s">
        <v>58</v>
      </c>
      <c r="T66" t="s">
        <v>58</v>
      </c>
    </row>
    <row r="67" spans="1:20" x14ac:dyDescent="0.3">
      <c r="A67" t="s">
        <v>149</v>
      </c>
      <c r="B67" s="1" t="s">
        <v>111</v>
      </c>
      <c r="C67" t="s">
        <v>83</v>
      </c>
      <c r="D67" s="1" t="s">
        <v>72</v>
      </c>
      <c r="E67">
        <v>0.75430899010596097</v>
      </c>
      <c r="F67">
        <v>0.71841389865331695</v>
      </c>
      <c r="G67">
        <v>0.77833812041681205</v>
      </c>
      <c r="H67">
        <v>0.75294512270199598</v>
      </c>
      <c r="I67">
        <v>0.75272819693260296</v>
      </c>
      <c r="J67">
        <v>0.90129642336709603</v>
      </c>
      <c r="K67">
        <v>0.90342143625726301</v>
      </c>
      <c r="L67">
        <v>0.88520550826937205</v>
      </c>
      <c r="M67">
        <v>0.84677266710811105</v>
      </c>
      <c r="N67">
        <v>0.89327625706740899</v>
      </c>
      <c r="O67">
        <v>0.87550639698799804</v>
      </c>
      <c r="P67">
        <v>0.84549413889045</v>
      </c>
      <c r="Q67">
        <v>0.94962375315694103</v>
      </c>
      <c r="R67">
        <v>0.92483955847069799</v>
      </c>
      <c r="S67">
        <v>0.92388954611760699</v>
      </c>
      <c r="T67">
        <v>0.88496895841236001</v>
      </c>
    </row>
    <row r="68" spans="1:20" x14ac:dyDescent="0.3">
      <c r="A68" t="s">
        <v>149</v>
      </c>
      <c r="B68" s="1" t="s">
        <v>111</v>
      </c>
      <c r="C68" t="s">
        <v>70</v>
      </c>
      <c r="D68" s="1" t="s">
        <v>147</v>
      </c>
      <c r="E68">
        <v>39.49534654298234</v>
      </c>
      <c r="F68">
        <v>41.643628659111506</v>
      </c>
      <c r="G68">
        <v>42.685583435740618</v>
      </c>
      <c r="H68">
        <v>41.680283832435599</v>
      </c>
      <c r="I68">
        <v>41.693667552362726</v>
      </c>
      <c r="J68">
        <v>42.585397615183524</v>
      </c>
      <c r="K68">
        <v>41.635541951859189</v>
      </c>
      <c r="L68">
        <v>42.202957598159074</v>
      </c>
      <c r="M68">
        <v>42.496891407471686</v>
      </c>
      <c r="N68">
        <v>42.340244481635608</v>
      </c>
      <c r="O68">
        <v>39.119806880882827</v>
      </c>
      <c r="P68">
        <v>42.519837929142881</v>
      </c>
      <c r="Q68">
        <v>45.628404342518529</v>
      </c>
      <c r="R68">
        <v>42.967262419684737</v>
      </c>
      <c r="S68">
        <v>41.434059372090822</v>
      </c>
      <c r="T68">
        <v>40.434773854507142</v>
      </c>
    </row>
    <row r="69" spans="1:20" x14ac:dyDescent="0.3">
      <c r="A69" t="s">
        <v>149</v>
      </c>
      <c r="B69" s="1" t="s">
        <v>111</v>
      </c>
      <c r="C69" t="s">
        <v>56</v>
      </c>
      <c r="D69" s="1" t="s">
        <v>14</v>
      </c>
      <c r="E69">
        <v>34.389888577043962</v>
      </c>
      <c r="F69">
        <v>36.789374242330474</v>
      </c>
      <c r="G69">
        <v>36.646066131290908</v>
      </c>
      <c r="H69">
        <v>35.90574502525746</v>
      </c>
      <c r="I69">
        <v>35.154684081260662</v>
      </c>
      <c r="J69">
        <v>35.171183953508709</v>
      </c>
      <c r="K69">
        <v>34.370448264746287</v>
      </c>
      <c r="L69">
        <v>35.251881876085697</v>
      </c>
      <c r="M69">
        <v>36.628334638893662</v>
      </c>
      <c r="N69">
        <v>36.732998235932698</v>
      </c>
      <c r="O69">
        <v>33.813725831130895</v>
      </c>
      <c r="P69">
        <v>37.39969693184225</v>
      </c>
      <c r="Q69">
        <v>43.157349870531583</v>
      </c>
      <c r="R69">
        <v>38.995285959078615</v>
      </c>
      <c r="S69">
        <v>37.656671217402753</v>
      </c>
      <c r="T69">
        <v>38.078037365405564</v>
      </c>
    </row>
    <row r="70" spans="1:20" x14ac:dyDescent="0.3">
      <c r="A70" t="s">
        <v>149</v>
      </c>
      <c r="B70" s="1" t="s">
        <v>111</v>
      </c>
      <c r="C70" t="s">
        <v>13</v>
      </c>
      <c r="D70" s="1" t="s">
        <v>123</v>
      </c>
      <c r="E70">
        <v>86037502102.164398</v>
      </c>
      <c r="F70">
        <v>97535403952.549301</v>
      </c>
      <c r="G70">
        <v>65443087632.2705</v>
      </c>
      <c r="H70">
        <v>67199694458.936798</v>
      </c>
      <c r="I70">
        <v>17356720097.615398</v>
      </c>
      <c r="J70">
        <v>62418993509.248901</v>
      </c>
      <c r="K70">
        <v>58132711370.780296</v>
      </c>
      <c r="L70">
        <v>108786501529.106</v>
      </c>
      <c r="M70">
        <v>162250938125.84201</v>
      </c>
      <c r="N70">
        <v>75463438450.891602</v>
      </c>
      <c r="O70">
        <v>176781024357.228</v>
      </c>
      <c r="P70">
        <v>127609826748.26801</v>
      </c>
      <c r="Q70">
        <v>76571769735.781906</v>
      </c>
      <c r="R70">
        <v>90884107609.890198</v>
      </c>
      <c r="S70">
        <v>62637241923.072197</v>
      </c>
      <c r="T70">
        <v>95190853681.331299</v>
      </c>
    </row>
    <row r="71" spans="1:20" x14ac:dyDescent="0.3">
      <c r="A71" t="s">
        <v>149</v>
      </c>
      <c r="B71" s="1" t="s">
        <v>111</v>
      </c>
      <c r="C71" t="s">
        <v>107</v>
      </c>
      <c r="D71" s="1" t="s">
        <v>106</v>
      </c>
      <c r="E71">
        <v>81776930</v>
      </c>
      <c r="F71">
        <v>80274983</v>
      </c>
      <c r="G71">
        <v>80425823</v>
      </c>
      <c r="H71">
        <v>80645605</v>
      </c>
      <c r="I71">
        <v>80982500</v>
      </c>
      <c r="J71">
        <v>81686611</v>
      </c>
      <c r="K71">
        <v>82348669</v>
      </c>
      <c r="L71">
        <v>82657002</v>
      </c>
      <c r="M71">
        <v>82905782</v>
      </c>
      <c r="N71">
        <v>83092962</v>
      </c>
      <c r="O71">
        <v>83160871</v>
      </c>
      <c r="P71">
        <v>83196078</v>
      </c>
      <c r="Q71">
        <v>83177813</v>
      </c>
      <c r="R71">
        <v>83287273</v>
      </c>
      <c r="S71">
        <v>83516593</v>
      </c>
      <c r="T71">
        <v>83491249</v>
      </c>
    </row>
    <row r="72" spans="1:20" x14ac:dyDescent="0.3">
      <c r="A72" t="s">
        <v>21</v>
      </c>
      <c r="B72" s="1" t="s">
        <v>75</v>
      </c>
      <c r="C72" t="s">
        <v>25</v>
      </c>
      <c r="D72" s="1" t="s">
        <v>89</v>
      </c>
      <c r="E72">
        <v>2496740681057.1392</v>
      </c>
      <c r="F72">
        <v>2675590034128.6582</v>
      </c>
      <c r="G72">
        <v>2719715961539.8311</v>
      </c>
      <c r="H72">
        <v>2796908333283.3892</v>
      </c>
      <c r="I72">
        <v>3085362169410.2915</v>
      </c>
      <c r="J72">
        <v>2945579890258.4585</v>
      </c>
      <c r="K72">
        <v>2706807606538.7305</v>
      </c>
      <c r="L72">
        <v>2699118387873.0957</v>
      </c>
      <c r="M72">
        <v>2897028009916.0503</v>
      </c>
      <c r="N72">
        <v>2875710080015.3003</v>
      </c>
      <c r="O72">
        <v>2724001478304.5908</v>
      </c>
      <c r="P72">
        <v>3194559188925.9272</v>
      </c>
      <c r="Q72">
        <v>3181244350465.4146</v>
      </c>
      <c r="R72">
        <v>3420796653789.0806</v>
      </c>
      <c r="S72">
        <v>3695539513534.1543</v>
      </c>
      <c r="T72">
        <v>4002587541846.0146</v>
      </c>
    </row>
    <row r="73" spans="1:20" x14ac:dyDescent="0.3">
      <c r="A73" t="s">
        <v>21</v>
      </c>
      <c r="B73" s="1" t="s">
        <v>75</v>
      </c>
      <c r="C73" t="s">
        <v>67</v>
      </c>
      <c r="D73" s="1" t="s">
        <v>24</v>
      </c>
      <c r="E73">
        <v>2.2605446093158577</v>
      </c>
      <c r="F73">
        <v>0.85143773902032649</v>
      </c>
      <c r="G73">
        <v>1.5282603472185201</v>
      </c>
      <c r="H73">
        <v>1.7184696130846362</v>
      </c>
      <c r="I73">
        <v>3.1601735146815173</v>
      </c>
      <c r="J73">
        <v>2.1404056003337075</v>
      </c>
      <c r="K73">
        <v>2.2065202063535736</v>
      </c>
      <c r="L73">
        <v>3.0232221984033885</v>
      </c>
      <c r="M73">
        <v>1.5513309507878574</v>
      </c>
      <c r="N73">
        <v>1.2562989976082406</v>
      </c>
      <c r="O73">
        <v>-10.047896637361958</v>
      </c>
      <c r="P73">
        <v>8.5431118453254982</v>
      </c>
      <c r="Q73">
        <v>5.1497038852299255</v>
      </c>
      <c r="R73">
        <v>0.27165004835525508</v>
      </c>
      <c r="S73">
        <v>1.0802771685878128</v>
      </c>
      <c r="T73">
        <v>1.3884420785872607</v>
      </c>
    </row>
    <row r="74" spans="1:20" x14ac:dyDescent="0.3">
      <c r="A74" t="s">
        <v>21</v>
      </c>
      <c r="B74" s="1" t="s">
        <v>75</v>
      </c>
      <c r="C74" t="s">
        <v>79</v>
      </c>
      <c r="D74" s="1" t="s">
        <v>91</v>
      </c>
      <c r="E74">
        <v>2.492654724670655</v>
      </c>
      <c r="F74">
        <v>3.8561124468282002</v>
      </c>
      <c r="G74">
        <v>2.573234796545302</v>
      </c>
      <c r="H74">
        <v>2.2916666666665941</v>
      </c>
      <c r="I74">
        <v>1.4511201629327919</v>
      </c>
      <c r="J74">
        <v>0.36804684232536039</v>
      </c>
      <c r="K74">
        <v>1.0084173681140951</v>
      </c>
      <c r="L74">
        <v>2.5577557755774731</v>
      </c>
      <c r="M74">
        <v>2.292839903459376</v>
      </c>
      <c r="N74">
        <v>1.738104600865128</v>
      </c>
      <c r="O74">
        <v>0.98948670377249126</v>
      </c>
      <c r="P74">
        <v>2.51837109614213</v>
      </c>
      <c r="Q74">
        <v>7.9220488314790227</v>
      </c>
      <c r="R74">
        <v>6.7939670679396258</v>
      </c>
      <c r="S74">
        <v>3.2715729463592012</v>
      </c>
      <c r="T74">
        <v>3.883068816259998</v>
      </c>
    </row>
    <row r="75" spans="1:20" x14ac:dyDescent="0.3">
      <c r="A75" t="s">
        <v>21</v>
      </c>
      <c r="B75" s="1" t="s">
        <v>75</v>
      </c>
      <c r="C75" t="s">
        <v>146</v>
      </c>
      <c r="D75" s="1" t="s">
        <v>131</v>
      </c>
      <c r="E75">
        <v>7.9729999999999999</v>
      </c>
      <c r="F75">
        <v>8.1950000000000003</v>
      </c>
      <c r="G75">
        <v>8.2789999999999999</v>
      </c>
      <c r="H75">
        <v>7.7519999999999998</v>
      </c>
      <c r="I75">
        <v>6.3979999999999997</v>
      </c>
      <c r="J75">
        <v>5.5519999999999996</v>
      </c>
      <c r="K75">
        <v>4.9089999999999998</v>
      </c>
      <c r="L75">
        <v>4.5010000000000003</v>
      </c>
      <c r="M75">
        <v>4.1449999999999996</v>
      </c>
      <c r="N75">
        <v>3.657</v>
      </c>
      <c r="O75">
        <v>4.4720000000000004</v>
      </c>
      <c r="P75">
        <v>4.8639999999999999</v>
      </c>
      <c r="Q75">
        <v>3.7679999999999998</v>
      </c>
      <c r="R75">
        <v>4.0250000000000004</v>
      </c>
      <c r="S75">
        <v>4.3609999999999998</v>
      </c>
      <c r="T75">
        <v>4.7460000000000004</v>
      </c>
    </row>
    <row r="76" spans="1:20" x14ac:dyDescent="0.3">
      <c r="A76" t="s">
        <v>21</v>
      </c>
      <c r="B76" s="1" t="s">
        <v>75</v>
      </c>
      <c r="C76" t="s">
        <v>34</v>
      </c>
      <c r="D76" s="1" t="s">
        <v>17</v>
      </c>
      <c r="E76">
        <v>0.5</v>
      </c>
      <c r="F76">
        <v>0.5</v>
      </c>
      <c r="G76">
        <v>0.5</v>
      </c>
      <c r="H76">
        <v>0.5</v>
      </c>
      <c r="I76">
        <v>0.5</v>
      </c>
      <c r="J76" t="s">
        <v>58</v>
      </c>
      <c r="K76" t="s">
        <v>58</v>
      </c>
      <c r="L76" t="s">
        <v>58</v>
      </c>
      <c r="M76" t="s">
        <v>58</v>
      </c>
      <c r="N76" t="s">
        <v>58</v>
      </c>
      <c r="O76" t="s">
        <v>58</v>
      </c>
      <c r="P76" t="s">
        <v>58</v>
      </c>
      <c r="Q76" t="s">
        <v>58</v>
      </c>
      <c r="R76" t="s">
        <v>58</v>
      </c>
      <c r="S76" t="s">
        <v>58</v>
      </c>
      <c r="T76" t="s">
        <v>58</v>
      </c>
    </row>
    <row r="77" spans="1:20" x14ac:dyDescent="0.3">
      <c r="A77" t="s">
        <v>21</v>
      </c>
      <c r="B77" s="1" t="s">
        <v>75</v>
      </c>
      <c r="C77" t="s">
        <v>83</v>
      </c>
      <c r="D77" s="1" t="s">
        <v>72</v>
      </c>
      <c r="E77">
        <v>0.64717934556016476</v>
      </c>
      <c r="F77">
        <v>0.62414083574049484</v>
      </c>
      <c r="G77">
        <v>0.63304698885732724</v>
      </c>
      <c r="H77">
        <v>0.63966057761347683</v>
      </c>
      <c r="I77">
        <v>0.60772962687825505</v>
      </c>
      <c r="J77">
        <v>0.65454547893142601</v>
      </c>
      <c r="K77">
        <v>0.74063446369708419</v>
      </c>
      <c r="L77">
        <v>0.77697668234412254</v>
      </c>
      <c r="M77">
        <v>0.74953154025984681</v>
      </c>
      <c r="N77">
        <v>0.78344511001192896</v>
      </c>
      <c r="O77">
        <v>0.77999957669715325</v>
      </c>
      <c r="P77">
        <v>0.7270649446883225</v>
      </c>
      <c r="Q77">
        <v>0.81130171582777322</v>
      </c>
      <c r="R77">
        <v>0.8045389067343528</v>
      </c>
      <c r="S77">
        <v>0.78241458098626182</v>
      </c>
      <c r="T77">
        <v>0.75947395733860779</v>
      </c>
    </row>
    <row r="78" spans="1:20" x14ac:dyDescent="0.3">
      <c r="A78" t="s">
        <v>21</v>
      </c>
      <c r="B78" s="1" t="s">
        <v>75</v>
      </c>
      <c r="C78" t="s">
        <v>70</v>
      </c>
      <c r="D78" s="1" t="s">
        <v>147</v>
      </c>
      <c r="E78">
        <v>28.746366438735542</v>
      </c>
      <c r="F78">
        <v>31.264921898625403</v>
      </c>
      <c r="G78">
        <v>30.499538830045513</v>
      </c>
      <c r="H78">
        <v>30.207616015453819</v>
      </c>
      <c r="I78">
        <v>28.532009006616299</v>
      </c>
      <c r="J78">
        <v>27.879073617646327</v>
      </c>
      <c r="K78">
        <v>29.061556150252777</v>
      </c>
      <c r="L78">
        <v>30.973831096564886</v>
      </c>
      <c r="M78">
        <v>31.854534000687984</v>
      </c>
      <c r="N78">
        <v>31.902860280315547</v>
      </c>
      <c r="O78">
        <v>29.948652057682896</v>
      </c>
      <c r="P78">
        <v>29.289407108770494</v>
      </c>
      <c r="Q78">
        <v>34.061928383706928</v>
      </c>
      <c r="R78">
        <v>31.912269762993773</v>
      </c>
      <c r="S78">
        <v>31.056143573937451</v>
      </c>
      <c r="T78">
        <v>30.596958216181598</v>
      </c>
    </row>
    <row r="79" spans="1:20" x14ac:dyDescent="0.3">
      <c r="A79" t="s">
        <v>21</v>
      </c>
      <c r="B79" s="1" t="s">
        <v>75</v>
      </c>
      <c r="C79" t="s">
        <v>56</v>
      </c>
      <c r="D79" s="1" t="s">
        <v>14</v>
      </c>
      <c r="E79">
        <v>30.304813784046551</v>
      </c>
      <c r="F79">
        <v>32.059139672264649</v>
      </c>
      <c r="G79">
        <v>31.469331617208031</v>
      </c>
      <c r="H79">
        <v>31.511923500004475</v>
      </c>
      <c r="I79">
        <v>30.289013826713301</v>
      </c>
      <c r="J79">
        <v>29.245970987792631</v>
      </c>
      <c r="K79">
        <v>30.777975363573105</v>
      </c>
      <c r="L79">
        <v>32.216093479850969</v>
      </c>
      <c r="M79">
        <v>33.055238195232093</v>
      </c>
      <c r="N79">
        <v>33.100706137389864</v>
      </c>
      <c r="O79">
        <v>29.211237245378214</v>
      </c>
      <c r="P79">
        <v>29.248979184139511</v>
      </c>
      <c r="Q79">
        <v>35.13699805769118</v>
      </c>
      <c r="R79">
        <v>33.080114411786504</v>
      </c>
      <c r="S79">
        <v>31.782908470646497</v>
      </c>
      <c r="T79">
        <v>31.86037124723795</v>
      </c>
    </row>
    <row r="80" spans="1:20" x14ac:dyDescent="0.3">
      <c r="A80" t="s">
        <v>21</v>
      </c>
      <c r="B80" s="1" t="s">
        <v>75</v>
      </c>
      <c r="C80" t="s">
        <v>13</v>
      </c>
      <c r="D80" s="1" t="s">
        <v>123</v>
      </c>
      <c r="E80">
        <v>66734551294.091301</v>
      </c>
      <c r="F80">
        <v>27012050072.3452</v>
      </c>
      <c r="G80">
        <v>46750789727.726303</v>
      </c>
      <c r="H80">
        <v>54473175400.241501</v>
      </c>
      <c r="I80">
        <v>58890445252.713898</v>
      </c>
      <c r="J80">
        <v>45333483122.089897</v>
      </c>
      <c r="K80">
        <v>324813224213.021</v>
      </c>
      <c r="L80">
        <v>125358809934.12</v>
      </c>
      <c r="M80">
        <v>-25055440306.907299</v>
      </c>
      <c r="N80">
        <v>19790761929.127602</v>
      </c>
      <c r="O80">
        <v>157185559299.98901</v>
      </c>
      <c r="P80">
        <v>102431564639.492</v>
      </c>
      <c r="Q80">
        <v>92776358059.349197</v>
      </c>
      <c r="R80">
        <v>13789803776.160801</v>
      </c>
      <c r="S80">
        <v>-12955141484.5037</v>
      </c>
      <c r="T80">
        <v>76628404708.653595</v>
      </c>
    </row>
    <row r="81" spans="1:20" x14ac:dyDescent="0.3">
      <c r="A81" t="s">
        <v>21</v>
      </c>
      <c r="B81" s="1" t="s">
        <v>75</v>
      </c>
      <c r="C81" t="s">
        <v>107</v>
      </c>
      <c r="D81" s="1" t="s">
        <v>106</v>
      </c>
      <c r="E81">
        <v>62766365</v>
      </c>
      <c r="F81">
        <v>63258810</v>
      </c>
      <c r="G81">
        <v>63711000</v>
      </c>
      <c r="H81">
        <v>64138000</v>
      </c>
      <c r="I81">
        <v>64619000</v>
      </c>
      <c r="J81">
        <v>65087000</v>
      </c>
      <c r="K81">
        <v>65606000</v>
      </c>
      <c r="L81">
        <v>65964000</v>
      </c>
      <c r="M81">
        <v>66287000</v>
      </c>
      <c r="N81">
        <v>66628000</v>
      </c>
      <c r="O81">
        <v>66740000</v>
      </c>
      <c r="P81">
        <v>66978000</v>
      </c>
      <c r="Q81">
        <v>67636000</v>
      </c>
      <c r="R81">
        <v>68526000</v>
      </c>
      <c r="S81">
        <v>69281000</v>
      </c>
      <c r="T81">
        <v>69487000</v>
      </c>
    </row>
    <row r="82" spans="1:20" x14ac:dyDescent="0.3">
      <c r="A82" t="s">
        <v>94</v>
      </c>
      <c r="B82" s="1" t="s">
        <v>97</v>
      </c>
      <c r="C82" t="s">
        <v>25</v>
      </c>
      <c r="D82" s="1" t="s">
        <v>89</v>
      </c>
      <c r="E82">
        <v>15048971000000</v>
      </c>
      <c r="F82">
        <v>15599732000000</v>
      </c>
      <c r="G82">
        <v>16253970000000</v>
      </c>
      <c r="H82">
        <v>16880683000000</v>
      </c>
      <c r="I82">
        <v>17608138000000</v>
      </c>
      <c r="J82">
        <v>18295019000000</v>
      </c>
      <c r="K82">
        <v>18804913000000</v>
      </c>
      <c r="L82">
        <v>19612102000000</v>
      </c>
      <c r="M82">
        <v>20656516000000</v>
      </c>
      <c r="N82">
        <v>21539982000000</v>
      </c>
      <c r="O82">
        <v>21375281000000</v>
      </c>
      <c r="P82">
        <v>23725645000000</v>
      </c>
      <c r="Q82">
        <v>26054614000000</v>
      </c>
      <c r="R82">
        <v>27811517000000</v>
      </c>
      <c r="S82">
        <v>29298013000000</v>
      </c>
      <c r="T82">
        <v>30769700000000</v>
      </c>
    </row>
    <row r="83" spans="1:20" x14ac:dyDescent="0.3">
      <c r="A83" t="s">
        <v>94</v>
      </c>
      <c r="B83" s="1" t="s">
        <v>97</v>
      </c>
      <c r="C83" t="s">
        <v>67</v>
      </c>
      <c r="D83" s="1" t="s">
        <v>24</v>
      </c>
      <c r="E83">
        <v>2.6951925867352458</v>
      </c>
      <c r="F83">
        <v>1.5644068520541907</v>
      </c>
      <c r="G83">
        <v>2.2891133900976683</v>
      </c>
      <c r="H83">
        <v>2.1178300944347086</v>
      </c>
      <c r="I83">
        <v>2.5238198175784561</v>
      </c>
      <c r="J83">
        <v>2.9455504522733662</v>
      </c>
      <c r="K83">
        <v>1.8194514790908869</v>
      </c>
      <c r="L83">
        <v>2.4576223012644931</v>
      </c>
      <c r="M83">
        <v>2.9665050670194262</v>
      </c>
      <c r="N83">
        <v>2.5838253305222452</v>
      </c>
      <c r="O83">
        <v>-2.0813759777960001</v>
      </c>
      <c r="P83">
        <v>6.1520224786752635</v>
      </c>
      <c r="Q83">
        <v>2.5242138507322238</v>
      </c>
      <c r="R83">
        <v>2.934363224401551</v>
      </c>
      <c r="S83">
        <v>2.7931871536384136</v>
      </c>
      <c r="T83">
        <v>2.1613819562385572</v>
      </c>
    </row>
    <row r="84" spans="1:20" x14ac:dyDescent="0.3">
      <c r="A84" t="s">
        <v>94</v>
      </c>
      <c r="B84" s="1" t="s">
        <v>97</v>
      </c>
      <c r="C84" t="s">
        <v>79</v>
      </c>
      <c r="D84" s="1" t="s">
        <v>91</v>
      </c>
      <c r="E84">
        <v>1.640043442389904</v>
      </c>
      <c r="F84">
        <v>3.1568415686220002</v>
      </c>
      <c r="G84">
        <v>2.0693372652606659</v>
      </c>
      <c r="H84">
        <v>1.4648326556271669</v>
      </c>
      <c r="I84">
        <v>1.622222977408174</v>
      </c>
      <c r="J84">
        <v>0.11862713555245059</v>
      </c>
      <c r="K84">
        <v>1.261583205705358</v>
      </c>
      <c r="L84">
        <v>2.1301100036596119</v>
      </c>
      <c r="M84">
        <v>2.442583296928166</v>
      </c>
      <c r="N84">
        <v>1.8122100752602051</v>
      </c>
      <c r="O84">
        <v>1.2335843963062929</v>
      </c>
      <c r="P84">
        <v>4.6978588636374212</v>
      </c>
      <c r="Q84">
        <v>8.0027998205212096</v>
      </c>
      <c r="R84">
        <v>4.1163383837448784</v>
      </c>
      <c r="S84">
        <v>2.949525204852073</v>
      </c>
      <c r="T84" t="s">
        <v>58</v>
      </c>
    </row>
    <row r="85" spans="1:20" x14ac:dyDescent="0.3">
      <c r="A85" t="s">
        <v>94</v>
      </c>
      <c r="B85" s="1" t="s">
        <v>97</v>
      </c>
      <c r="C85" t="s">
        <v>146</v>
      </c>
      <c r="D85" s="1" t="s">
        <v>131</v>
      </c>
      <c r="E85">
        <v>9.6329999999999991</v>
      </c>
      <c r="F85">
        <v>8.9489999999999998</v>
      </c>
      <c r="G85">
        <v>8.0690000000000008</v>
      </c>
      <c r="H85">
        <v>7.375</v>
      </c>
      <c r="I85">
        <v>6.1680000000000001</v>
      </c>
      <c r="J85">
        <v>5.28</v>
      </c>
      <c r="K85">
        <v>4.8689999999999998</v>
      </c>
      <c r="L85">
        <v>4.3550000000000004</v>
      </c>
      <c r="M85">
        <v>3.8959999999999999</v>
      </c>
      <c r="N85">
        <v>3.669</v>
      </c>
      <c r="O85">
        <v>8.0549999999999997</v>
      </c>
      <c r="P85">
        <v>5.3490000000000002</v>
      </c>
      <c r="Q85">
        <v>3.65</v>
      </c>
      <c r="R85">
        <v>3.6379999999999999</v>
      </c>
      <c r="S85">
        <v>4.0220000000000002</v>
      </c>
      <c r="T85">
        <v>4.1980000000000004</v>
      </c>
    </row>
    <row r="86" spans="1:20" x14ac:dyDescent="0.3">
      <c r="A86" t="s">
        <v>94</v>
      </c>
      <c r="B86" s="1" t="s">
        <v>97</v>
      </c>
      <c r="C86" t="s">
        <v>34</v>
      </c>
      <c r="D86" s="1" t="s">
        <v>17</v>
      </c>
      <c r="E86">
        <v>3.25</v>
      </c>
      <c r="F86">
        <v>3.25</v>
      </c>
      <c r="G86">
        <v>3.25</v>
      </c>
      <c r="H86">
        <v>3.25</v>
      </c>
      <c r="I86">
        <v>3.25</v>
      </c>
      <c r="J86">
        <v>3.26</v>
      </c>
      <c r="K86">
        <v>3.511666666666668</v>
      </c>
      <c r="L86">
        <v>4.0966666666666676</v>
      </c>
      <c r="M86">
        <v>4.904166666666665</v>
      </c>
      <c r="N86">
        <v>5.2824999999999998</v>
      </c>
      <c r="O86">
        <v>3.5441666666666678</v>
      </c>
      <c r="P86">
        <v>3.25</v>
      </c>
      <c r="Q86" t="s">
        <v>58</v>
      </c>
      <c r="R86" t="s">
        <v>58</v>
      </c>
      <c r="S86" t="s">
        <v>58</v>
      </c>
      <c r="T86" t="s">
        <v>58</v>
      </c>
    </row>
    <row r="87" spans="1:20" x14ac:dyDescent="0.3">
      <c r="A87" t="s">
        <v>94</v>
      </c>
      <c r="B87" s="1" t="s">
        <v>97</v>
      </c>
      <c r="C87" t="s">
        <v>83</v>
      </c>
      <c r="D87" s="1" t="s">
        <v>72</v>
      </c>
      <c r="E87">
        <v>1</v>
      </c>
      <c r="F87">
        <v>1</v>
      </c>
      <c r="G87">
        <v>1</v>
      </c>
      <c r="H87">
        <v>1</v>
      </c>
      <c r="I87">
        <v>1</v>
      </c>
      <c r="J87">
        <v>1</v>
      </c>
      <c r="K87">
        <v>1</v>
      </c>
      <c r="L87">
        <v>1</v>
      </c>
      <c r="M87">
        <v>1</v>
      </c>
      <c r="N87">
        <v>1</v>
      </c>
      <c r="O87">
        <v>1</v>
      </c>
      <c r="P87">
        <v>1</v>
      </c>
      <c r="Q87">
        <v>1</v>
      </c>
      <c r="R87">
        <v>1</v>
      </c>
      <c r="S87">
        <v>1</v>
      </c>
      <c r="T87">
        <v>1</v>
      </c>
    </row>
    <row r="88" spans="1:20" x14ac:dyDescent="0.3">
      <c r="A88" t="s">
        <v>94</v>
      </c>
      <c r="B88" s="1" t="s">
        <v>97</v>
      </c>
      <c r="C88" t="s">
        <v>70</v>
      </c>
      <c r="D88" s="1" t="s">
        <v>147</v>
      </c>
      <c r="E88">
        <v>12.341355432208621</v>
      </c>
      <c r="F88">
        <v>13.563463782582932</v>
      </c>
      <c r="G88">
        <v>13.644051268705429</v>
      </c>
      <c r="H88">
        <v>13.553491881815447</v>
      </c>
      <c r="I88">
        <v>13.508214213223454</v>
      </c>
      <c r="J88">
        <v>12.411148630127141</v>
      </c>
      <c r="K88">
        <v>11.888159227325328</v>
      </c>
      <c r="L88">
        <v>12.177481026766024</v>
      </c>
      <c r="M88">
        <v>12.287110759626648</v>
      </c>
      <c r="N88">
        <v>11.789197409728569</v>
      </c>
      <c r="O88">
        <v>10.123080955052707</v>
      </c>
      <c r="P88">
        <v>10.826668779710731</v>
      </c>
      <c r="Q88">
        <v>11.654097044001496</v>
      </c>
      <c r="R88">
        <v>11.050673719092705</v>
      </c>
      <c r="S88">
        <v>10.974696475150038</v>
      </c>
      <c r="T88" t="s">
        <v>58</v>
      </c>
    </row>
    <row r="89" spans="1:20" x14ac:dyDescent="0.3">
      <c r="A89" t="s">
        <v>94</v>
      </c>
      <c r="B89" s="1" t="s">
        <v>97</v>
      </c>
      <c r="C89" t="s">
        <v>56</v>
      </c>
      <c r="D89" s="1" t="s">
        <v>14</v>
      </c>
      <c r="E89">
        <v>15.878527508625009</v>
      </c>
      <c r="F89">
        <v>17.279014793331065</v>
      </c>
      <c r="G89">
        <v>17.037788306487585</v>
      </c>
      <c r="H89">
        <v>16.387814403007273</v>
      </c>
      <c r="I89">
        <v>16.3983551242045</v>
      </c>
      <c r="J89">
        <v>15.277065303949671</v>
      </c>
      <c r="K89">
        <v>14.564438559221198</v>
      </c>
      <c r="L89">
        <v>14.947857195521419</v>
      </c>
      <c r="M89">
        <v>15.158248370635203</v>
      </c>
      <c r="N89">
        <v>14.469283214814199</v>
      </c>
      <c r="O89">
        <v>13.016862795862192</v>
      </c>
      <c r="P89">
        <v>14.406057243122369</v>
      </c>
      <c r="Q89">
        <v>15.253801111772372</v>
      </c>
      <c r="R89">
        <v>13.878624456192016</v>
      </c>
      <c r="S89">
        <v>14.041320822678315</v>
      </c>
      <c r="T89" t="s">
        <v>58</v>
      </c>
    </row>
    <row r="90" spans="1:20" x14ac:dyDescent="0.3">
      <c r="A90" t="s">
        <v>94</v>
      </c>
      <c r="B90" s="1" t="s">
        <v>97</v>
      </c>
      <c r="C90" t="s">
        <v>13</v>
      </c>
      <c r="D90" s="1" t="s">
        <v>123</v>
      </c>
      <c r="E90">
        <v>264039000000</v>
      </c>
      <c r="F90">
        <v>263497000000</v>
      </c>
      <c r="G90">
        <v>250345000000</v>
      </c>
      <c r="H90">
        <v>288131000000</v>
      </c>
      <c r="I90">
        <v>251856000000</v>
      </c>
      <c r="J90">
        <v>511434000000</v>
      </c>
      <c r="K90">
        <v>474388000000</v>
      </c>
      <c r="L90">
        <v>380823000000</v>
      </c>
      <c r="M90">
        <v>214715000000</v>
      </c>
      <c r="N90">
        <v>315984000000</v>
      </c>
      <c r="O90">
        <v>137066000000</v>
      </c>
      <c r="P90">
        <v>477956000000</v>
      </c>
      <c r="Q90">
        <v>416890000000</v>
      </c>
      <c r="R90">
        <v>361944000000</v>
      </c>
      <c r="S90">
        <v>297058000000</v>
      </c>
      <c r="T90">
        <v>400519000000</v>
      </c>
    </row>
    <row r="91" spans="1:20" x14ac:dyDescent="0.3">
      <c r="A91" t="s">
        <v>94</v>
      </c>
      <c r="B91" s="1" t="s">
        <v>97</v>
      </c>
      <c r="C91" t="s">
        <v>107</v>
      </c>
      <c r="D91" s="1" t="s">
        <v>106</v>
      </c>
      <c r="E91">
        <v>309378227</v>
      </c>
      <c r="F91">
        <v>311839461</v>
      </c>
      <c r="G91">
        <v>314339099</v>
      </c>
      <c r="H91">
        <v>316726282</v>
      </c>
      <c r="I91">
        <v>319257560</v>
      </c>
      <c r="J91">
        <v>321815121</v>
      </c>
      <c r="K91">
        <v>324353340</v>
      </c>
      <c r="L91">
        <v>326608609</v>
      </c>
      <c r="M91">
        <v>328529577</v>
      </c>
      <c r="N91">
        <v>330226227</v>
      </c>
      <c r="O91">
        <v>331578104</v>
      </c>
      <c r="P91">
        <v>332100166</v>
      </c>
      <c r="Q91">
        <v>333996304</v>
      </c>
      <c r="R91">
        <v>336755052</v>
      </c>
      <c r="S91">
        <v>340003797</v>
      </c>
      <c r="T91">
        <v>341784857</v>
      </c>
    </row>
    <row r="92" spans="1:20" x14ac:dyDescent="0.3">
      <c r="A92" t="s">
        <v>116</v>
      </c>
      <c r="B92" s="1" t="s">
        <v>138</v>
      </c>
      <c r="C92" t="s">
        <v>25</v>
      </c>
      <c r="D92" s="1" t="s">
        <v>89</v>
      </c>
      <c r="E92">
        <v>1152566632022.1255</v>
      </c>
      <c r="F92">
        <v>1402939868653.3967</v>
      </c>
      <c r="G92">
        <v>1552728401401.5811</v>
      </c>
      <c r="H92">
        <v>1583737461925.3928</v>
      </c>
      <c r="I92">
        <v>1474677007565.6382</v>
      </c>
      <c r="J92">
        <v>1356805839935.9031</v>
      </c>
      <c r="K92">
        <v>1211588128417.6074</v>
      </c>
      <c r="L92">
        <v>1330890554614.0916</v>
      </c>
      <c r="M92">
        <v>1433144978761.6658</v>
      </c>
      <c r="N92">
        <v>1398349602956.3535</v>
      </c>
      <c r="O92">
        <v>1333336461648.0901</v>
      </c>
      <c r="P92">
        <v>1560617493202.6936</v>
      </c>
      <c r="Q92">
        <v>1695627535475.8005</v>
      </c>
      <c r="R92">
        <v>1734451264655.6016</v>
      </c>
      <c r="S92">
        <v>1757022451652.8313</v>
      </c>
      <c r="T92">
        <v>1798518933689.2104</v>
      </c>
    </row>
    <row r="93" spans="1:20" x14ac:dyDescent="0.3">
      <c r="A93" t="s">
        <v>116</v>
      </c>
      <c r="B93" s="1" t="s">
        <v>138</v>
      </c>
      <c r="C93" t="s">
        <v>67</v>
      </c>
      <c r="D93" s="1" t="s">
        <v>24</v>
      </c>
      <c r="E93">
        <v>2.2100479530073471</v>
      </c>
      <c r="F93">
        <v>2.3947349433061476</v>
      </c>
      <c r="G93">
        <v>3.9524713811918417</v>
      </c>
      <c r="H93">
        <v>2.6544530259240418</v>
      </c>
      <c r="I93">
        <v>2.6011897818733161</v>
      </c>
      <c r="J93">
        <v>2.1643478064785171</v>
      </c>
      <c r="K93">
        <v>2.7556406552986772</v>
      </c>
      <c r="L93">
        <v>2.2933103019291821</v>
      </c>
      <c r="M93">
        <v>2.874170394995005</v>
      </c>
      <c r="N93">
        <v>2.1940170362271658</v>
      </c>
      <c r="O93">
        <v>-0.13353190430477468</v>
      </c>
      <c r="P93">
        <v>2.0069484433503391</v>
      </c>
      <c r="Q93">
        <v>4.2530455923873234</v>
      </c>
      <c r="R93">
        <v>3.5838210079898118</v>
      </c>
      <c r="S93">
        <v>1.3734077336597466</v>
      </c>
      <c r="T93">
        <v>1.3503978507663135</v>
      </c>
    </row>
    <row r="94" spans="1:20" x14ac:dyDescent="0.3">
      <c r="A94" t="s">
        <v>116</v>
      </c>
      <c r="B94" s="1" t="s">
        <v>138</v>
      </c>
      <c r="C94" t="s">
        <v>79</v>
      </c>
      <c r="D94" s="1" t="s">
        <v>91</v>
      </c>
      <c r="E94">
        <v>2.9183370211222002</v>
      </c>
      <c r="F94">
        <v>3.3038478468108101</v>
      </c>
      <c r="G94">
        <v>1.76278299052228</v>
      </c>
      <c r="H94">
        <v>2.4498824810925899</v>
      </c>
      <c r="I94">
        <v>2.4879293208049198</v>
      </c>
      <c r="J94">
        <v>1.5083680313846299</v>
      </c>
      <c r="K94">
        <v>1.27699365720306</v>
      </c>
      <c r="L94">
        <v>1.94864309065653</v>
      </c>
      <c r="M94">
        <v>1.9114000281857899</v>
      </c>
      <c r="N94">
        <v>1.610770929127</v>
      </c>
      <c r="O94">
        <v>0.846900734607273</v>
      </c>
      <c r="P94">
        <v>2.8639128470931801</v>
      </c>
      <c r="Q94">
        <v>6.5940965871784103</v>
      </c>
      <c r="R94">
        <v>5.59701792296707</v>
      </c>
      <c r="S94">
        <v>3.16656665428797</v>
      </c>
      <c r="T94">
        <v>2.87403791660173</v>
      </c>
    </row>
    <row r="95" spans="1:20" x14ac:dyDescent="0.3">
      <c r="A95" t="s">
        <v>116</v>
      </c>
      <c r="B95" s="1" t="s">
        <v>138</v>
      </c>
      <c r="C95" t="s">
        <v>146</v>
      </c>
      <c r="D95" s="1" t="s">
        <v>131</v>
      </c>
      <c r="E95">
        <v>5.2140000000000004</v>
      </c>
      <c r="F95">
        <v>5.0830000000000002</v>
      </c>
      <c r="G95">
        <v>5.2249999999999996</v>
      </c>
      <c r="H95">
        <v>5.6630000000000003</v>
      </c>
      <c r="I95">
        <v>6.0780000000000003</v>
      </c>
      <c r="J95">
        <v>6.0549999999999997</v>
      </c>
      <c r="K95">
        <v>5.7110000000000003</v>
      </c>
      <c r="L95">
        <v>5.5919999999999996</v>
      </c>
      <c r="M95">
        <v>5.3449999999999998</v>
      </c>
      <c r="N95">
        <v>5.1429999999999998</v>
      </c>
      <c r="O95">
        <v>6.3940000000000001</v>
      </c>
      <c r="P95">
        <v>5.0220000000000002</v>
      </c>
      <c r="Q95">
        <v>3.7280000000000002</v>
      </c>
      <c r="R95">
        <v>3.6680000000000001</v>
      </c>
      <c r="S95">
        <v>3.9420000000000002</v>
      </c>
      <c r="T95">
        <v>4.09</v>
      </c>
    </row>
    <row r="96" spans="1:20" x14ac:dyDescent="0.3">
      <c r="A96" t="s">
        <v>116</v>
      </c>
      <c r="B96" s="1" t="s">
        <v>138</v>
      </c>
      <c r="C96" t="s">
        <v>34</v>
      </c>
      <c r="D96" s="1" t="s">
        <v>17</v>
      </c>
      <c r="E96">
        <v>7.2791666666666677</v>
      </c>
      <c r="F96">
        <v>7.7374999999999998</v>
      </c>
      <c r="G96">
        <v>6.9749999999999996</v>
      </c>
      <c r="H96">
        <v>6.1791666666666654</v>
      </c>
      <c r="I96">
        <v>5.95</v>
      </c>
      <c r="J96">
        <v>5.5750000000000002</v>
      </c>
      <c r="K96">
        <v>5.4208333333333316</v>
      </c>
      <c r="L96">
        <v>5.2454999999999998</v>
      </c>
      <c r="M96">
        <v>5.2608333333333324</v>
      </c>
      <c r="N96">
        <v>5.101</v>
      </c>
      <c r="O96" t="s">
        <v>58</v>
      </c>
      <c r="P96" t="s">
        <v>58</v>
      </c>
      <c r="Q96" t="s">
        <v>58</v>
      </c>
      <c r="R96" t="s">
        <v>58</v>
      </c>
      <c r="S96" t="s">
        <v>58</v>
      </c>
      <c r="T96" t="s">
        <v>58</v>
      </c>
    </row>
    <row r="97" spans="1:20" x14ac:dyDescent="0.3">
      <c r="A97" t="s">
        <v>116</v>
      </c>
      <c r="B97" s="1" t="s">
        <v>138</v>
      </c>
      <c r="C97" t="s">
        <v>83</v>
      </c>
      <c r="D97" s="1" t="s">
        <v>72</v>
      </c>
      <c r="E97">
        <v>1.0901594863867721</v>
      </c>
      <c r="F97">
        <v>0.96946320149673515</v>
      </c>
      <c r="G97">
        <v>0.96580103065870782</v>
      </c>
      <c r="H97">
        <v>1.0358430965205381</v>
      </c>
      <c r="I97">
        <v>1.109363292816917</v>
      </c>
      <c r="J97">
        <v>1.331090262455018</v>
      </c>
      <c r="K97">
        <v>1.3452139760194679</v>
      </c>
      <c r="L97">
        <v>1.3047580767159219</v>
      </c>
      <c r="M97">
        <v>1.338412146464508</v>
      </c>
      <c r="N97">
        <v>1.4385065442138181</v>
      </c>
      <c r="O97">
        <v>1.4530851184701601</v>
      </c>
      <c r="P97">
        <v>1.331224259570809</v>
      </c>
      <c r="Q97">
        <v>1.441664458965217</v>
      </c>
      <c r="R97">
        <v>1.5051910656050851</v>
      </c>
      <c r="S97">
        <v>1.51535803855596</v>
      </c>
      <c r="T97">
        <v>1.5519978866485049</v>
      </c>
    </row>
    <row r="98" spans="1:20" x14ac:dyDescent="0.3">
      <c r="A98" t="s">
        <v>116</v>
      </c>
      <c r="B98" s="1" t="s">
        <v>138</v>
      </c>
      <c r="C98" t="s">
        <v>70</v>
      </c>
      <c r="D98" s="1" t="s">
        <v>147</v>
      </c>
      <c r="E98">
        <v>19.732223712415603</v>
      </c>
      <c r="F98">
        <v>21.3710952598475</v>
      </c>
      <c r="G98">
        <v>21.421233024544804</v>
      </c>
      <c r="H98">
        <v>19.893141104787272</v>
      </c>
      <c r="I98">
        <v>20.995917991280674</v>
      </c>
      <c r="J98">
        <v>19.984645450325516</v>
      </c>
      <c r="K98">
        <v>19.20314387833513</v>
      </c>
      <c r="L98">
        <v>21.171841221107581</v>
      </c>
      <c r="M98">
        <v>21.81257365750659</v>
      </c>
      <c r="N98">
        <v>24.062480021072176</v>
      </c>
      <c r="O98">
        <v>23.938037391541304</v>
      </c>
      <c r="P98">
        <v>22.001814422892526</v>
      </c>
      <c r="Q98">
        <v>25.46152983736588</v>
      </c>
      <c r="R98">
        <v>26.701068252275018</v>
      </c>
      <c r="S98">
        <v>24.621524052947265</v>
      </c>
      <c r="T98">
        <v>23.244438350899653</v>
      </c>
    </row>
    <row r="99" spans="1:20" x14ac:dyDescent="0.3">
      <c r="A99" t="s">
        <v>116</v>
      </c>
      <c r="B99" s="1" t="s">
        <v>138</v>
      </c>
      <c r="C99" t="s">
        <v>56</v>
      </c>
      <c r="D99" s="1" t="s">
        <v>14</v>
      </c>
      <c r="E99">
        <v>20.658283373644977</v>
      </c>
      <c r="F99">
        <v>20.350890755121405</v>
      </c>
      <c r="G99">
        <v>21.598616528211018</v>
      </c>
      <c r="H99">
        <v>21.207370776268721</v>
      </c>
      <c r="I99">
        <v>21.303391547247525</v>
      </c>
      <c r="J99">
        <v>21.510105243664562</v>
      </c>
      <c r="K99">
        <v>21.610258338985883</v>
      </c>
      <c r="L99">
        <v>20.86357230407782</v>
      </c>
      <c r="M99">
        <v>21.760651707015249</v>
      </c>
      <c r="N99">
        <v>21.939202684144981</v>
      </c>
      <c r="O99">
        <v>20.56152671233772</v>
      </c>
      <c r="P99">
        <v>18.200421516166969</v>
      </c>
      <c r="Q99">
        <v>20.233112043209342</v>
      </c>
      <c r="R99">
        <v>22.343271066152944</v>
      </c>
      <c r="S99">
        <v>22.523857053572261</v>
      </c>
      <c r="T99">
        <v>22.657011037112927</v>
      </c>
    </row>
    <row r="100" spans="1:20" x14ac:dyDescent="0.3">
      <c r="A100" t="s">
        <v>116</v>
      </c>
      <c r="B100" s="1" t="s">
        <v>138</v>
      </c>
      <c r="C100" t="s">
        <v>13</v>
      </c>
      <c r="D100" s="1" t="s">
        <v>123</v>
      </c>
      <c r="E100">
        <v>35554698682.424698</v>
      </c>
      <c r="F100">
        <v>65578266555.523003</v>
      </c>
      <c r="G100">
        <v>57571285654.744698</v>
      </c>
      <c r="H100">
        <v>54472699003.596001</v>
      </c>
      <c r="I100">
        <v>63204516347.872498</v>
      </c>
      <c r="J100">
        <v>46892808567.851501</v>
      </c>
      <c r="K100">
        <v>42970225977.708702</v>
      </c>
      <c r="L100">
        <v>48199372039.901398</v>
      </c>
      <c r="M100">
        <v>60686639529.922897</v>
      </c>
      <c r="N100">
        <v>38745129661.119499</v>
      </c>
      <c r="O100">
        <v>17976843681.311699</v>
      </c>
      <c r="P100">
        <v>31453060427.452999</v>
      </c>
      <c r="Q100">
        <v>68709419796.645798</v>
      </c>
      <c r="R100">
        <v>35315978153.095497</v>
      </c>
      <c r="S100">
        <v>53722899427.803101</v>
      </c>
      <c r="T100">
        <v>36521352076.921204</v>
      </c>
    </row>
    <row r="101" spans="1:20" x14ac:dyDescent="0.3">
      <c r="A101" t="s">
        <v>116</v>
      </c>
      <c r="B101" s="1" t="s">
        <v>138</v>
      </c>
      <c r="C101" t="s">
        <v>107</v>
      </c>
      <c r="D101" s="1" t="s">
        <v>106</v>
      </c>
      <c r="E101">
        <v>22031750</v>
      </c>
      <c r="F101">
        <v>22340024</v>
      </c>
      <c r="G101">
        <v>22733465</v>
      </c>
      <c r="H101">
        <v>23128129</v>
      </c>
      <c r="I101">
        <v>23475686</v>
      </c>
      <c r="J101">
        <v>23815995</v>
      </c>
      <c r="K101">
        <v>24190907</v>
      </c>
      <c r="L101">
        <v>24592588</v>
      </c>
      <c r="M101">
        <v>24963258</v>
      </c>
      <c r="N101">
        <v>25334826</v>
      </c>
      <c r="O101">
        <v>25649248</v>
      </c>
      <c r="P101">
        <v>25685412</v>
      </c>
      <c r="Q101">
        <v>26018721</v>
      </c>
      <c r="R101">
        <v>26659922</v>
      </c>
      <c r="S101">
        <v>27194286</v>
      </c>
      <c r="T101">
        <v>27614411</v>
      </c>
    </row>
    <row r="102" spans="1:20" x14ac:dyDescent="0.3">
      <c r="B102" s="1"/>
      <c r="D102" s="1"/>
    </row>
    <row r="103" spans="1:20" x14ac:dyDescent="0.3">
      <c r="B103" s="1"/>
      <c r="D103" s="1"/>
    </row>
    <row r="104" spans="1:20" x14ac:dyDescent="0.3">
      <c r="B104" s="1"/>
      <c r="D104" s="1"/>
    </row>
    <row r="105" spans="1:20" x14ac:dyDescent="0.3">
      <c r="A105" t="s">
        <v>54</v>
      </c>
      <c r="B105" s="1"/>
      <c r="D105" s="1"/>
    </row>
    <row r="106" spans="1:20" x14ac:dyDescent="0.3">
      <c r="A106" t="s">
        <v>80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B24" sqref="B24"/>
    </sheetView>
  </sheetViews>
  <sheetFormatPr defaultRowHeight="14.4" x14ac:dyDescent="0.3"/>
  <cols>
    <col min="1" max="1" width="15.77734375" customWidth="1"/>
    <col min="2" max="16" width="50.77734375" customWidth="1"/>
  </cols>
  <sheetData>
    <row r="1" spans="1:16" s="19" customFormat="1" ht="18" x14ac:dyDescent="0.35">
      <c r="A1" s="19" t="s">
        <v>35</v>
      </c>
      <c r="B1" s="19" t="s">
        <v>87</v>
      </c>
      <c r="C1" s="19" t="s">
        <v>11</v>
      </c>
      <c r="D1" s="19" t="s">
        <v>88</v>
      </c>
      <c r="E1" s="19" t="s">
        <v>2</v>
      </c>
      <c r="F1" s="19" t="s">
        <v>119</v>
      </c>
      <c r="G1" s="19" t="s">
        <v>133</v>
      </c>
      <c r="H1" s="19" t="s">
        <v>81</v>
      </c>
      <c r="I1" s="19" t="s">
        <v>62</v>
      </c>
      <c r="J1" s="19" t="s">
        <v>134</v>
      </c>
      <c r="K1" s="19" t="s">
        <v>122</v>
      </c>
      <c r="L1" s="19" t="s">
        <v>142</v>
      </c>
      <c r="M1" s="19" t="s">
        <v>112</v>
      </c>
      <c r="N1" s="19" t="s">
        <v>139</v>
      </c>
      <c r="O1" s="19" t="s">
        <v>63</v>
      </c>
      <c r="P1" s="19" t="s">
        <v>60</v>
      </c>
    </row>
    <row r="2" spans="1:16" s="18" customFormat="1" x14ac:dyDescent="0.3">
      <c r="A2" s="18" t="s">
        <v>89</v>
      </c>
      <c r="B2" s="18" t="s">
        <v>126</v>
      </c>
      <c r="C2" s="18" t="s">
        <v>25</v>
      </c>
      <c r="D2" s="18" t="s">
        <v>61</v>
      </c>
      <c r="E2" s="18" t="s">
        <v>27</v>
      </c>
      <c r="F2" s="18" t="s">
        <v>4</v>
      </c>
      <c r="G2" s="18" t="s">
        <v>103</v>
      </c>
      <c r="H2" s="18" t="s">
        <v>120</v>
      </c>
      <c r="I2" s="18" t="s">
        <v>84</v>
      </c>
      <c r="J2" s="18" t="s">
        <v>90</v>
      </c>
      <c r="K2" s="18" t="s">
        <v>16</v>
      </c>
      <c r="L2" s="18" t="s">
        <v>140</v>
      </c>
      <c r="M2" s="18" t="s">
        <v>85</v>
      </c>
      <c r="N2" s="18" t="s">
        <v>148</v>
      </c>
      <c r="P2" s="18" t="s">
        <v>6</v>
      </c>
    </row>
    <row r="3" spans="1:16" s="18" customFormat="1" x14ac:dyDescent="0.3">
      <c r="A3" s="18" t="s">
        <v>24</v>
      </c>
      <c r="B3" s="18" t="s">
        <v>126</v>
      </c>
      <c r="C3" s="18" t="s">
        <v>105</v>
      </c>
      <c r="D3" s="18" t="s">
        <v>101</v>
      </c>
      <c r="E3" s="18" t="s">
        <v>27</v>
      </c>
      <c r="F3" s="18" t="s">
        <v>51</v>
      </c>
      <c r="G3" s="18" t="s">
        <v>103</v>
      </c>
      <c r="H3" s="18" t="s">
        <v>68</v>
      </c>
      <c r="I3" s="18" t="s">
        <v>84</v>
      </c>
      <c r="J3" s="18" t="s">
        <v>137</v>
      </c>
      <c r="K3" s="18" t="s">
        <v>121</v>
      </c>
      <c r="L3" s="18" t="s">
        <v>140</v>
      </c>
      <c r="M3" s="18" t="s">
        <v>85</v>
      </c>
      <c r="N3" s="18" t="s">
        <v>10</v>
      </c>
      <c r="P3" s="18" t="s">
        <v>6</v>
      </c>
    </row>
    <row r="4" spans="1:16" s="18" customFormat="1" x14ac:dyDescent="0.3">
      <c r="A4" s="18" t="s">
        <v>91</v>
      </c>
      <c r="B4" s="18" t="s">
        <v>126</v>
      </c>
      <c r="C4" s="18" t="s">
        <v>141</v>
      </c>
      <c r="D4" s="18" t="s">
        <v>124</v>
      </c>
      <c r="E4" s="18" t="s">
        <v>18</v>
      </c>
      <c r="F4" s="18" t="s">
        <v>73</v>
      </c>
      <c r="G4" s="18" t="s">
        <v>103</v>
      </c>
      <c r="H4" s="18" t="s">
        <v>68</v>
      </c>
      <c r="I4" s="18" t="s">
        <v>84</v>
      </c>
      <c r="J4" s="18" t="s">
        <v>90</v>
      </c>
      <c r="K4" s="18" t="s">
        <v>93</v>
      </c>
      <c r="L4" s="18" t="s">
        <v>32</v>
      </c>
      <c r="M4" s="18" t="s">
        <v>0</v>
      </c>
      <c r="P4" s="18" t="s">
        <v>6</v>
      </c>
    </row>
    <row r="5" spans="1:16" s="18" customFormat="1" x14ac:dyDescent="0.3">
      <c r="A5" s="18" t="s">
        <v>131</v>
      </c>
      <c r="B5" s="18" t="s">
        <v>126</v>
      </c>
      <c r="C5" s="18" t="s">
        <v>146</v>
      </c>
      <c r="D5" s="18" t="s">
        <v>33</v>
      </c>
      <c r="E5" s="18" t="s">
        <v>26</v>
      </c>
      <c r="F5" s="18" t="s">
        <v>45</v>
      </c>
      <c r="G5" s="18" t="s">
        <v>103</v>
      </c>
      <c r="H5" s="18" t="s">
        <v>115</v>
      </c>
      <c r="I5" s="18" t="s">
        <v>84</v>
      </c>
      <c r="J5" s="18" t="s">
        <v>42</v>
      </c>
      <c r="K5" s="18" t="s">
        <v>121</v>
      </c>
      <c r="L5" s="18" t="s">
        <v>1</v>
      </c>
      <c r="M5" s="18" t="s">
        <v>100</v>
      </c>
      <c r="N5" s="18" t="s">
        <v>59</v>
      </c>
      <c r="O5" s="18" t="s">
        <v>22</v>
      </c>
      <c r="P5" s="18" t="s">
        <v>6</v>
      </c>
    </row>
    <row r="6" spans="1:16" s="18" customFormat="1" x14ac:dyDescent="0.3">
      <c r="A6" s="18" t="s">
        <v>17</v>
      </c>
      <c r="B6" s="18" t="s">
        <v>126</v>
      </c>
      <c r="C6" s="18" t="s">
        <v>34</v>
      </c>
      <c r="D6" s="18" t="s">
        <v>65</v>
      </c>
      <c r="E6" s="18" t="s">
        <v>18</v>
      </c>
      <c r="F6" s="18" t="s">
        <v>128</v>
      </c>
      <c r="G6" s="18" t="s">
        <v>103</v>
      </c>
      <c r="H6" s="18" t="s">
        <v>68</v>
      </c>
      <c r="I6" s="18" t="s">
        <v>84</v>
      </c>
      <c r="J6" s="18" t="s">
        <v>90</v>
      </c>
      <c r="L6" s="18" t="s">
        <v>78</v>
      </c>
      <c r="M6" s="18" t="s">
        <v>136</v>
      </c>
      <c r="N6" s="18" t="s">
        <v>86</v>
      </c>
      <c r="P6" s="18" t="s">
        <v>6</v>
      </c>
    </row>
    <row r="7" spans="1:16" s="18" customFormat="1" x14ac:dyDescent="0.3">
      <c r="A7" s="18" t="s">
        <v>72</v>
      </c>
      <c r="B7" s="18" t="s">
        <v>126</v>
      </c>
      <c r="C7" s="18" t="s">
        <v>83</v>
      </c>
      <c r="D7" s="18" t="s">
        <v>110</v>
      </c>
      <c r="E7" s="18" t="s">
        <v>18</v>
      </c>
      <c r="F7" s="18" t="s">
        <v>73</v>
      </c>
      <c r="G7" s="18" t="s">
        <v>103</v>
      </c>
      <c r="H7" s="18" t="s">
        <v>82</v>
      </c>
      <c r="I7" s="18" t="s">
        <v>84</v>
      </c>
      <c r="J7" s="18" t="s">
        <v>90</v>
      </c>
      <c r="L7" s="18" t="s">
        <v>37</v>
      </c>
      <c r="M7" s="18" t="s">
        <v>36</v>
      </c>
      <c r="N7" s="18" t="s">
        <v>77</v>
      </c>
      <c r="P7" s="18" t="s">
        <v>6</v>
      </c>
    </row>
    <row r="8" spans="1:16" s="18" customFormat="1" x14ac:dyDescent="0.3">
      <c r="A8" s="18" t="s">
        <v>147</v>
      </c>
      <c r="B8" s="18" t="s">
        <v>126</v>
      </c>
      <c r="C8" s="18" t="s">
        <v>70</v>
      </c>
      <c r="D8" s="18" t="s">
        <v>135</v>
      </c>
      <c r="E8" s="18" t="s">
        <v>8</v>
      </c>
      <c r="F8" s="18" t="s">
        <v>99</v>
      </c>
      <c r="G8" s="18" t="s">
        <v>103</v>
      </c>
      <c r="H8" s="18" t="s">
        <v>68</v>
      </c>
      <c r="I8" s="18" t="s">
        <v>84</v>
      </c>
      <c r="J8" s="18" t="s">
        <v>90</v>
      </c>
      <c r="K8" s="18" t="s">
        <v>121</v>
      </c>
      <c r="L8" s="18" t="s">
        <v>140</v>
      </c>
      <c r="M8" s="18" t="s">
        <v>57</v>
      </c>
      <c r="N8" s="18" t="s">
        <v>117</v>
      </c>
      <c r="P8" s="18" t="s">
        <v>6</v>
      </c>
    </row>
    <row r="9" spans="1:16" s="18" customFormat="1" x14ac:dyDescent="0.3">
      <c r="A9" s="18" t="s">
        <v>14</v>
      </c>
      <c r="B9" s="18" t="s">
        <v>126</v>
      </c>
      <c r="C9" s="18" t="s">
        <v>56</v>
      </c>
      <c r="D9" s="18" t="s">
        <v>113</v>
      </c>
      <c r="E9" s="18" t="s">
        <v>8</v>
      </c>
      <c r="F9" s="18" t="s">
        <v>99</v>
      </c>
      <c r="G9" s="18" t="s">
        <v>103</v>
      </c>
      <c r="H9" s="18" t="s">
        <v>68</v>
      </c>
      <c r="I9" s="18" t="s">
        <v>84</v>
      </c>
      <c r="J9" s="18" t="s">
        <v>90</v>
      </c>
      <c r="K9" s="18" t="s">
        <v>121</v>
      </c>
      <c r="L9" s="18" t="s">
        <v>140</v>
      </c>
      <c r="M9" s="18" t="s">
        <v>46</v>
      </c>
      <c r="N9" s="18" t="s">
        <v>145</v>
      </c>
      <c r="P9" s="18" t="s">
        <v>6</v>
      </c>
    </row>
    <row r="10" spans="1:16" s="18" customFormat="1" x14ac:dyDescent="0.3">
      <c r="A10" s="18" t="s">
        <v>123</v>
      </c>
      <c r="B10" s="18" t="s">
        <v>126</v>
      </c>
      <c r="C10" s="18" t="s">
        <v>13</v>
      </c>
      <c r="D10" s="18" t="s">
        <v>20</v>
      </c>
      <c r="E10" s="18" t="s">
        <v>49</v>
      </c>
      <c r="F10" s="18" t="s">
        <v>28</v>
      </c>
      <c r="G10" s="18" t="s">
        <v>103</v>
      </c>
      <c r="I10" s="18" t="s">
        <v>84</v>
      </c>
      <c r="J10" s="18" t="s">
        <v>109</v>
      </c>
      <c r="K10" s="18" t="s">
        <v>48</v>
      </c>
      <c r="L10" s="18" t="s">
        <v>130</v>
      </c>
      <c r="M10" s="18" t="s">
        <v>23</v>
      </c>
      <c r="N10" s="18" t="s">
        <v>74</v>
      </c>
      <c r="O10" s="18" t="s">
        <v>71</v>
      </c>
      <c r="P10" s="18" t="s">
        <v>6</v>
      </c>
    </row>
    <row r="11" spans="1:16" s="18" customFormat="1" x14ac:dyDescent="0.3">
      <c r="A11" s="18" t="s">
        <v>106</v>
      </c>
      <c r="B11" s="18" t="s">
        <v>126</v>
      </c>
      <c r="C11" s="18" t="s">
        <v>107</v>
      </c>
      <c r="D11" s="18" t="s">
        <v>114</v>
      </c>
      <c r="E11" s="18" t="s">
        <v>129</v>
      </c>
      <c r="F11" s="18" t="s">
        <v>29</v>
      </c>
      <c r="G11" s="18" t="s">
        <v>103</v>
      </c>
      <c r="H11" s="18" t="s">
        <v>144</v>
      </c>
      <c r="I11" s="18" t="s">
        <v>84</v>
      </c>
      <c r="J11" s="18" t="s">
        <v>90</v>
      </c>
      <c r="K11" s="18" t="s">
        <v>48</v>
      </c>
      <c r="L11" s="18" t="s">
        <v>118</v>
      </c>
      <c r="M11" s="18" t="s">
        <v>41</v>
      </c>
      <c r="N11" s="18" t="s">
        <v>31</v>
      </c>
      <c r="O11" s="18" t="s">
        <v>19</v>
      </c>
      <c r="P11" s="18"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DF17-764B-4AA3-8A96-625370404047}">
  <dimension ref="A1:G1601"/>
  <sheetViews>
    <sheetView zoomScale="90" workbookViewId="0">
      <selection activeCell="I10" sqref="I10"/>
    </sheetView>
  </sheetViews>
  <sheetFormatPr defaultRowHeight="14.4" x14ac:dyDescent="0.3"/>
  <cols>
    <col min="1" max="1" width="15.5546875" style="2" bestFit="1" customWidth="1"/>
    <col min="2" max="2" width="14.77734375" style="2" bestFit="1" customWidth="1"/>
    <col min="3" max="3" width="58" style="2" bestFit="1" customWidth="1"/>
    <col min="4" max="4" width="18.21875" style="2" bestFit="1" customWidth="1"/>
    <col min="5" max="5" width="15.21875" style="2" customWidth="1"/>
    <col min="6" max="6" width="31.44140625" style="2" customWidth="1"/>
    <col min="7" max="7" width="41.88671875" style="2" customWidth="1"/>
    <col min="8" max="16384" width="8.88671875" style="2"/>
  </cols>
  <sheetData>
    <row r="1" spans="1:7" x14ac:dyDescent="0.3">
      <c r="A1" s="2" t="s">
        <v>55</v>
      </c>
      <c r="B1" s="2" t="s">
        <v>3</v>
      </c>
      <c r="C1" s="2" t="s">
        <v>108</v>
      </c>
      <c r="D1" s="2" t="s">
        <v>53</v>
      </c>
      <c r="E1" s="2" t="s">
        <v>150</v>
      </c>
      <c r="F1" s="2" t="s">
        <v>151</v>
      </c>
      <c r="G1" s="2" t="s">
        <v>173</v>
      </c>
    </row>
    <row r="2" spans="1:7" x14ac:dyDescent="0.3">
      <c r="A2" s="2" t="s">
        <v>39</v>
      </c>
      <c r="B2" s="2" t="s">
        <v>76</v>
      </c>
      <c r="C2" s="2" t="s">
        <v>25</v>
      </c>
      <c r="D2" s="2" t="s">
        <v>89</v>
      </c>
      <c r="E2" s="2" t="s">
        <v>152</v>
      </c>
      <c r="F2" s="2">
        <v>196709621849.58618</v>
      </c>
      <c r="G2" s="2" t="str">
        <f>Table1_1[[#This Row],[Country Name]]&amp;"|"&amp;Table1_1[[#This Row],[Series Name]]&amp;"|"&amp;Table1_1[[#This Row],[Years]]</f>
        <v>Pakistan|GDP (current US$)|2010</v>
      </c>
    </row>
    <row r="3" spans="1:7" x14ac:dyDescent="0.3">
      <c r="A3" s="2" t="s">
        <v>39</v>
      </c>
      <c r="B3" s="2" t="s">
        <v>76</v>
      </c>
      <c r="C3" s="2" t="s">
        <v>25</v>
      </c>
      <c r="D3" s="2" t="s">
        <v>89</v>
      </c>
      <c r="E3" s="2" t="s">
        <v>153</v>
      </c>
      <c r="F3" s="2">
        <v>230586581059.66541</v>
      </c>
      <c r="G3" s="2" t="str">
        <f>Table1_1[[#This Row],[Country Name]]&amp;"|"&amp;Table1_1[[#This Row],[Series Name]]&amp;"|"&amp;Table1_1[[#This Row],[Years]]</f>
        <v>Pakistan|GDP (current US$)|2011</v>
      </c>
    </row>
    <row r="4" spans="1:7" x14ac:dyDescent="0.3">
      <c r="A4" s="2" t="s">
        <v>39</v>
      </c>
      <c r="B4" s="2" t="s">
        <v>76</v>
      </c>
      <c r="C4" s="2" t="s">
        <v>25</v>
      </c>
      <c r="D4" s="2" t="s">
        <v>89</v>
      </c>
      <c r="E4" s="2" t="s">
        <v>154</v>
      </c>
      <c r="F4" s="2">
        <v>250106966104.70358</v>
      </c>
      <c r="G4" s="2" t="str">
        <f>Table1_1[[#This Row],[Country Name]]&amp;"|"&amp;Table1_1[[#This Row],[Series Name]]&amp;"|"&amp;Table1_1[[#This Row],[Years]]</f>
        <v>Pakistan|GDP (current US$)|2012</v>
      </c>
    </row>
    <row r="5" spans="1:7" x14ac:dyDescent="0.3">
      <c r="A5" s="2" t="s">
        <v>39</v>
      </c>
      <c r="B5" s="2" t="s">
        <v>76</v>
      </c>
      <c r="C5" s="2" t="s">
        <v>25</v>
      </c>
      <c r="D5" s="2" t="s">
        <v>89</v>
      </c>
      <c r="E5" s="2" t="s">
        <v>155</v>
      </c>
      <c r="F5" s="2">
        <v>258657231672.41232</v>
      </c>
      <c r="G5" s="2" t="str">
        <f>Table1_1[[#This Row],[Country Name]]&amp;"|"&amp;Table1_1[[#This Row],[Series Name]]&amp;"|"&amp;Table1_1[[#This Row],[Years]]</f>
        <v>Pakistan|GDP (current US$)|2013</v>
      </c>
    </row>
    <row r="6" spans="1:7" x14ac:dyDescent="0.3">
      <c r="A6" s="2" t="s">
        <v>39</v>
      </c>
      <c r="B6" s="2" t="s">
        <v>76</v>
      </c>
      <c r="C6" s="2" t="s">
        <v>25</v>
      </c>
      <c r="D6" s="2" t="s">
        <v>89</v>
      </c>
      <c r="E6" s="2" t="s">
        <v>156</v>
      </c>
      <c r="F6" s="2">
        <v>271390474857.63217</v>
      </c>
      <c r="G6" s="2" t="str">
        <f>Table1_1[[#This Row],[Country Name]]&amp;"|"&amp;Table1_1[[#This Row],[Series Name]]&amp;"|"&amp;Table1_1[[#This Row],[Years]]</f>
        <v>Pakistan|GDP (current US$)|2014</v>
      </c>
    </row>
    <row r="7" spans="1:7" x14ac:dyDescent="0.3">
      <c r="A7" s="2" t="s">
        <v>39</v>
      </c>
      <c r="B7" s="2" t="s">
        <v>76</v>
      </c>
      <c r="C7" s="2" t="s">
        <v>25</v>
      </c>
      <c r="D7" s="2" t="s">
        <v>89</v>
      </c>
      <c r="E7" s="2" t="s">
        <v>157</v>
      </c>
      <c r="F7" s="2">
        <v>299963590534.7735</v>
      </c>
      <c r="G7" s="2" t="str">
        <f>Table1_1[[#This Row],[Country Name]]&amp;"|"&amp;Table1_1[[#This Row],[Series Name]]&amp;"|"&amp;Table1_1[[#This Row],[Years]]</f>
        <v>Pakistan|GDP (current US$)|2015</v>
      </c>
    </row>
    <row r="8" spans="1:7" x14ac:dyDescent="0.3">
      <c r="A8" s="2" t="s">
        <v>39</v>
      </c>
      <c r="B8" s="2" t="s">
        <v>76</v>
      </c>
      <c r="C8" s="2" t="s">
        <v>25</v>
      </c>
      <c r="D8" s="2" t="s">
        <v>89</v>
      </c>
      <c r="E8" s="2" t="s">
        <v>158</v>
      </c>
      <c r="F8" s="2">
        <v>313630000130.43536</v>
      </c>
      <c r="G8" s="2" t="str">
        <f>Table1_1[[#This Row],[Country Name]]&amp;"|"&amp;Table1_1[[#This Row],[Series Name]]&amp;"|"&amp;Table1_1[[#This Row],[Years]]</f>
        <v>Pakistan|GDP (current US$)|2016</v>
      </c>
    </row>
    <row r="9" spans="1:7" x14ac:dyDescent="0.3">
      <c r="A9" s="2" t="s">
        <v>39</v>
      </c>
      <c r="B9" s="2" t="s">
        <v>76</v>
      </c>
      <c r="C9" s="2" t="s">
        <v>25</v>
      </c>
      <c r="D9" s="2" t="s">
        <v>89</v>
      </c>
      <c r="E9" s="2" t="s">
        <v>159</v>
      </c>
      <c r="F9" s="2">
        <v>339205534861.1001</v>
      </c>
      <c r="G9" s="2" t="str">
        <f>Table1_1[[#This Row],[Country Name]]&amp;"|"&amp;Table1_1[[#This Row],[Series Name]]&amp;"|"&amp;Table1_1[[#This Row],[Years]]</f>
        <v>Pakistan|GDP (current US$)|2017</v>
      </c>
    </row>
    <row r="10" spans="1:7" x14ac:dyDescent="0.3">
      <c r="A10" s="2" t="s">
        <v>39</v>
      </c>
      <c r="B10" s="2" t="s">
        <v>76</v>
      </c>
      <c r="C10" s="2" t="s">
        <v>25</v>
      </c>
      <c r="D10" s="2" t="s">
        <v>89</v>
      </c>
      <c r="E10" s="2" t="s">
        <v>160</v>
      </c>
      <c r="F10" s="2">
        <v>356128166704.92102</v>
      </c>
      <c r="G10" s="2" t="str">
        <f>Table1_1[[#This Row],[Country Name]]&amp;"|"&amp;Table1_1[[#This Row],[Series Name]]&amp;"|"&amp;Table1_1[[#This Row],[Years]]</f>
        <v>Pakistan|GDP (current US$)|2018</v>
      </c>
    </row>
    <row r="11" spans="1:7" x14ac:dyDescent="0.3">
      <c r="A11" s="2" t="s">
        <v>39</v>
      </c>
      <c r="B11" s="2" t="s">
        <v>76</v>
      </c>
      <c r="C11" s="2" t="s">
        <v>25</v>
      </c>
      <c r="D11" s="2" t="s">
        <v>89</v>
      </c>
      <c r="E11" s="2" t="s">
        <v>161</v>
      </c>
      <c r="F11" s="2">
        <v>320909472770.6687</v>
      </c>
      <c r="G11" s="2" t="str">
        <f>Table1_1[[#This Row],[Country Name]]&amp;"|"&amp;Table1_1[[#This Row],[Series Name]]&amp;"|"&amp;Table1_1[[#This Row],[Years]]</f>
        <v>Pakistan|GDP (current US$)|2019</v>
      </c>
    </row>
    <row r="12" spans="1:7" x14ac:dyDescent="0.3">
      <c r="A12" s="2" t="s">
        <v>39</v>
      </c>
      <c r="B12" s="2" t="s">
        <v>76</v>
      </c>
      <c r="C12" s="2" t="s">
        <v>25</v>
      </c>
      <c r="D12" s="2" t="s">
        <v>89</v>
      </c>
      <c r="E12" s="2" t="s">
        <v>162</v>
      </c>
      <c r="F12" s="2">
        <v>300425609817.9812</v>
      </c>
      <c r="G12" s="2" t="str">
        <f>Table1_1[[#This Row],[Country Name]]&amp;"|"&amp;Table1_1[[#This Row],[Series Name]]&amp;"|"&amp;Table1_1[[#This Row],[Years]]</f>
        <v>Pakistan|GDP (current US$)|2020</v>
      </c>
    </row>
    <row r="13" spans="1:7" x14ac:dyDescent="0.3">
      <c r="A13" s="2" t="s">
        <v>39</v>
      </c>
      <c r="B13" s="2" t="s">
        <v>76</v>
      </c>
      <c r="C13" s="2" t="s">
        <v>25</v>
      </c>
      <c r="D13" s="2" t="s">
        <v>89</v>
      </c>
      <c r="E13" s="2" t="s">
        <v>163</v>
      </c>
      <c r="F13" s="2">
        <v>348516647445.14844</v>
      </c>
      <c r="G13" s="2" t="str">
        <f>Table1_1[[#This Row],[Country Name]]&amp;"|"&amp;Table1_1[[#This Row],[Series Name]]&amp;"|"&amp;Table1_1[[#This Row],[Years]]</f>
        <v>Pakistan|GDP (current US$)|2021</v>
      </c>
    </row>
    <row r="14" spans="1:7" x14ac:dyDescent="0.3">
      <c r="A14" s="2" t="s">
        <v>39</v>
      </c>
      <c r="B14" s="2" t="s">
        <v>76</v>
      </c>
      <c r="C14" s="2" t="s">
        <v>25</v>
      </c>
      <c r="D14" s="2" t="s">
        <v>89</v>
      </c>
      <c r="E14" s="2" t="s">
        <v>164</v>
      </c>
      <c r="F14" s="2">
        <v>374890295666.69366</v>
      </c>
      <c r="G14" s="2" t="str">
        <f>Table1_1[[#This Row],[Country Name]]&amp;"|"&amp;Table1_1[[#This Row],[Series Name]]&amp;"|"&amp;Table1_1[[#This Row],[Years]]</f>
        <v>Pakistan|GDP (current US$)|2022</v>
      </c>
    </row>
    <row r="15" spans="1:7" x14ac:dyDescent="0.3">
      <c r="A15" s="2" t="s">
        <v>39</v>
      </c>
      <c r="B15" s="2" t="s">
        <v>76</v>
      </c>
      <c r="C15" s="2" t="s">
        <v>25</v>
      </c>
      <c r="D15" s="2" t="s">
        <v>89</v>
      </c>
      <c r="E15" s="2" t="s">
        <v>165</v>
      </c>
      <c r="F15" s="2">
        <v>336686348609.26593</v>
      </c>
      <c r="G15" s="2" t="str">
        <f>Table1_1[[#This Row],[Country Name]]&amp;"|"&amp;Table1_1[[#This Row],[Series Name]]&amp;"|"&amp;Table1_1[[#This Row],[Years]]</f>
        <v>Pakistan|GDP (current US$)|2023</v>
      </c>
    </row>
    <row r="16" spans="1:7" x14ac:dyDescent="0.3">
      <c r="A16" s="2" t="s">
        <v>39</v>
      </c>
      <c r="B16" s="2" t="s">
        <v>76</v>
      </c>
      <c r="C16" s="2" t="s">
        <v>25</v>
      </c>
      <c r="D16" s="2" t="s">
        <v>89</v>
      </c>
      <c r="E16" s="2" t="s">
        <v>166</v>
      </c>
      <c r="F16" s="2">
        <v>371747087751.30609</v>
      </c>
      <c r="G16" s="2" t="str">
        <f>Table1_1[[#This Row],[Country Name]]&amp;"|"&amp;Table1_1[[#This Row],[Series Name]]&amp;"|"&amp;Table1_1[[#This Row],[Years]]</f>
        <v>Pakistan|GDP (current US$)|2024</v>
      </c>
    </row>
    <row r="17" spans="1:7" x14ac:dyDescent="0.3">
      <c r="A17" s="2" t="s">
        <v>39</v>
      </c>
      <c r="B17" s="2" t="s">
        <v>76</v>
      </c>
      <c r="C17" s="2" t="s">
        <v>25</v>
      </c>
      <c r="D17" s="2" t="s">
        <v>89</v>
      </c>
      <c r="E17" s="2" t="s">
        <v>167</v>
      </c>
      <c r="F17" s="2">
        <v>407307214476.22186</v>
      </c>
      <c r="G17" s="2" t="str">
        <f>Table1_1[[#This Row],[Country Name]]&amp;"|"&amp;Table1_1[[#This Row],[Series Name]]&amp;"|"&amp;Table1_1[[#This Row],[Years]]</f>
        <v>Pakistan|GDP (current US$)|2025</v>
      </c>
    </row>
    <row r="18" spans="1:7" x14ac:dyDescent="0.3">
      <c r="A18" s="2" t="s">
        <v>39</v>
      </c>
      <c r="B18" s="2" t="s">
        <v>76</v>
      </c>
      <c r="C18" s="2" t="s">
        <v>67</v>
      </c>
      <c r="D18" s="2" t="s">
        <v>24</v>
      </c>
      <c r="E18" s="2" t="s">
        <v>152</v>
      </c>
      <c r="F18" s="2">
        <v>1.5017175215288319</v>
      </c>
      <c r="G18" s="2" t="str">
        <f>Table1_1[[#This Row],[Country Name]]&amp;"|"&amp;Table1_1[[#This Row],[Series Name]]&amp;"|"&amp;Table1_1[[#This Row],[Years]]</f>
        <v>Pakistan|GDP growth (annual %)|2010</v>
      </c>
    </row>
    <row r="19" spans="1:7" x14ac:dyDescent="0.3">
      <c r="A19" s="2" t="s">
        <v>39</v>
      </c>
      <c r="B19" s="2" t="s">
        <v>76</v>
      </c>
      <c r="C19" s="2" t="s">
        <v>67</v>
      </c>
      <c r="D19" s="2" t="s">
        <v>24</v>
      </c>
      <c r="E19" s="2" t="s">
        <v>153</v>
      </c>
      <c r="F19" s="2">
        <v>2.6801168542170473</v>
      </c>
      <c r="G19" s="2" t="str">
        <f>Table1_1[[#This Row],[Country Name]]&amp;"|"&amp;Table1_1[[#This Row],[Series Name]]&amp;"|"&amp;Table1_1[[#This Row],[Years]]</f>
        <v>Pakistan|GDP growth (annual %)|2011</v>
      </c>
    </row>
    <row r="20" spans="1:7" x14ac:dyDescent="0.3">
      <c r="A20" s="2" t="s">
        <v>39</v>
      </c>
      <c r="B20" s="2" t="s">
        <v>76</v>
      </c>
      <c r="C20" s="2" t="s">
        <v>67</v>
      </c>
      <c r="D20" s="2" t="s">
        <v>24</v>
      </c>
      <c r="E20" s="2" t="s">
        <v>154</v>
      </c>
      <c r="F20" s="2">
        <v>3.0275839108862925</v>
      </c>
      <c r="G20" s="2" t="str">
        <f>Table1_1[[#This Row],[Country Name]]&amp;"|"&amp;Table1_1[[#This Row],[Series Name]]&amp;"|"&amp;Table1_1[[#This Row],[Years]]</f>
        <v>Pakistan|GDP growth (annual %)|2012</v>
      </c>
    </row>
    <row r="21" spans="1:7" x14ac:dyDescent="0.3">
      <c r="A21" s="2" t="s">
        <v>39</v>
      </c>
      <c r="B21" s="2" t="s">
        <v>76</v>
      </c>
      <c r="C21" s="2" t="s">
        <v>67</v>
      </c>
      <c r="D21" s="2" t="s">
        <v>24</v>
      </c>
      <c r="E21" s="2" t="s">
        <v>155</v>
      </c>
      <c r="F21" s="2">
        <v>4.3668650497838684</v>
      </c>
      <c r="G21" s="2" t="str">
        <f>Table1_1[[#This Row],[Country Name]]&amp;"|"&amp;Table1_1[[#This Row],[Series Name]]&amp;"|"&amp;Table1_1[[#This Row],[Years]]</f>
        <v>Pakistan|GDP growth (annual %)|2013</v>
      </c>
    </row>
    <row r="22" spans="1:7" x14ac:dyDescent="0.3">
      <c r="A22" s="2" t="s">
        <v>39</v>
      </c>
      <c r="B22" s="2" t="s">
        <v>76</v>
      </c>
      <c r="C22" s="2" t="s">
        <v>67</v>
      </c>
      <c r="D22" s="2" t="s">
        <v>24</v>
      </c>
      <c r="E22" s="2" t="s">
        <v>156</v>
      </c>
      <c r="F22" s="2">
        <v>4.116428171614217</v>
      </c>
      <c r="G22" s="2" t="str">
        <f>Table1_1[[#This Row],[Country Name]]&amp;"|"&amp;Table1_1[[#This Row],[Series Name]]&amp;"|"&amp;Table1_1[[#This Row],[Years]]</f>
        <v>Pakistan|GDP growth (annual %)|2014</v>
      </c>
    </row>
    <row r="23" spans="1:7" x14ac:dyDescent="0.3">
      <c r="A23" s="2" t="s">
        <v>39</v>
      </c>
      <c r="B23" s="2" t="s">
        <v>76</v>
      </c>
      <c r="C23" s="2" t="s">
        <v>67</v>
      </c>
      <c r="D23" s="2" t="s">
        <v>24</v>
      </c>
      <c r="E23" s="2" t="s">
        <v>157</v>
      </c>
      <c r="F23" s="2">
        <v>4.2179420957250642</v>
      </c>
      <c r="G23" s="2" t="str">
        <f>Table1_1[[#This Row],[Country Name]]&amp;"|"&amp;Table1_1[[#This Row],[Series Name]]&amp;"|"&amp;Table1_1[[#This Row],[Years]]</f>
        <v>Pakistan|GDP growth (annual %)|2015</v>
      </c>
    </row>
    <row r="24" spans="1:7" x14ac:dyDescent="0.3">
      <c r="A24" s="2" t="s">
        <v>39</v>
      </c>
      <c r="B24" s="2" t="s">
        <v>76</v>
      </c>
      <c r="C24" s="2" t="s">
        <v>67</v>
      </c>
      <c r="D24" s="2" t="s">
        <v>24</v>
      </c>
      <c r="E24" s="2" t="s">
        <v>158</v>
      </c>
      <c r="F24" s="2">
        <v>6.5738382851104262</v>
      </c>
      <c r="G24" s="2" t="str">
        <f>Table1_1[[#This Row],[Country Name]]&amp;"|"&amp;Table1_1[[#This Row],[Series Name]]&amp;"|"&amp;Table1_1[[#This Row],[Years]]</f>
        <v>Pakistan|GDP growth (annual %)|2016</v>
      </c>
    </row>
    <row r="25" spans="1:7" x14ac:dyDescent="0.3">
      <c r="A25" s="2" t="s">
        <v>39</v>
      </c>
      <c r="B25" s="2" t="s">
        <v>76</v>
      </c>
      <c r="C25" s="2" t="s">
        <v>67</v>
      </c>
      <c r="D25" s="2" t="s">
        <v>24</v>
      </c>
      <c r="E25" s="2" t="s">
        <v>159</v>
      </c>
      <c r="F25" s="2">
        <v>4.4326259068397462</v>
      </c>
      <c r="G25" s="2" t="str">
        <f>Table1_1[[#This Row],[Country Name]]&amp;"|"&amp;Table1_1[[#This Row],[Series Name]]&amp;"|"&amp;Table1_1[[#This Row],[Years]]</f>
        <v>Pakistan|GDP growth (annual %)|2017</v>
      </c>
    </row>
    <row r="26" spans="1:7" x14ac:dyDescent="0.3">
      <c r="A26" s="2" t="s">
        <v>39</v>
      </c>
      <c r="B26" s="2" t="s">
        <v>76</v>
      </c>
      <c r="C26" s="2" t="s">
        <v>67</v>
      </c>
      <c r="D26" s="2" t="s">
        <v>24</v>
      </c>
      <c r="E26" s="2" t="s">
        <v>160</v>
      </c>
      <c r="F26" s="2">
        <v>6.1517026109951871</v>
      </c>
      <c r="G26" s="2" t="str">
        <f>Table1_1[[#This Row],[Country Name]]&amp;"|"&amp;Table1_1[[#This Row],[Series Name]]&amp;"|"&amp;Table1_1[[#This Row],[Years]]</f>
        <v>Pakistan|GDP growth (annual %)|2018</v>
      </c>
    </row>
    <row r="27" spans="1:7" x14ac:dyDescent="0.3">
      <c r="A27" s="2" t="s">
        <v>39</v>
      </c>
      <c r="B27" s="2" t="s">
        <v>76</v>
      </c>
      <c r="C27" s="2" t="s">
        <v>67</v>
      </c>
      <c r="D27" s="2" t="s">
        <v>24</v>
      </c>
      <c r="E27" s="2" t="s">
        <v>161</v>
      </c>
      <c r="F27" s="2">
        <v>2.4976369294336536</v>
      </c>
      <c r="G27" s="2" t="str">
        <f>Table1_1[[#This Row],[Country Name]]&amp;"|"&amp;Table1_1[[#This Row],[Series Name]]&amp;"|"&amp;Table1_1[[#This Row],[Years]]</f>
        <v>Pakistan|GDP growth (annual %)|2019</v>
      </c>
    </row>
    <row r="28" spans="1:7" x14ac:dyDescent="0.3">
      <c r="A28" s="2" t="s">
        <v>39</v>
      </c>
      <c r="B28" s="2" t="s">
        <v>76</v>
      </c>
      <c r="C28" s="2" t="s">
        <v>67</v>
      </c>
      <c r="D28" s="2" t="s">
        <v>24</v>
      </c>
      <c r="E28" s="2" t="s">
        <v>162</v>
      </c>
      <c r="F28" s="2">
        <v>-1.2740874433870886</v>
      </c>
      <c r="G28" s="2" t="str">
        <f>Table1_1[[#This Row],[Country Name]]&amp;"|"&amp;Table1_1[[#This Row],[Series Name]]&amp;"|"&amp;Table1_1[[#This Row],[Years]]</f>
        <v>Pakistan|GDP growth (annual %)|2020</v>
      </c>
    </row>
    <row r="29" spans="1:7" x14ac:dyDescent="0.3">
      <c r="A29" s="2" t="s">
        <v>39</v>
      </c>
      <c r="B29" s="2" t="s">
        <v>76</v>
      </c>
      <c r="C29" s="2" t="s">
        <v>67</v>
      </c>
      <c r="D29" s="2" t="s">
        <v>24</v>
      </c>
      <c r="E29" s="2" t="s">
        <v>163</v>
      </c>
      <c r="F29" s="2">
        <v>6.5138857585270244</v>
      </c>
      <c r="G29" s="2" t="str">
        <f>Table1_1[[#This Row],[Country Name]]&amp;"|"&amp;Table1_1[[#This Row],[Series Name]]&amp;"|"&amp;Table1_1[[#This Row],[Years]]</f>
        <v>Pakistan|GDP growth (annual %)|2021</v>
      </c>
    </row>
    <row r="30" spans="1:7" x14ac:dyDescent="0.3">
      <c r="A30" s="2" t="s">
        <v>39</v>
      </c>
      <c r="B30" s="2" t="s">
        <v>76</v>
      </c>
      <c r="C30" s="2" t="s">
        <v>67</v>
      </c>
      <c r="D30" s="2" t="s">
        <v>24</v>
      </c>
      <c r="E30" s="2" t="s">
        <v>164</v>
      </c>
      <c r="F30" s="2">
        <v>4.7781068690357955</v>
      </c>
      <c r="G30" s="2" t="str">
        <f>Table1_1[[#This Row],[Country Name]]&amp;"|"&amp;Table1_1[[#This Row],[Series Name]]&amp;"|"&amp;Table1_1[[#This Row],[Years]]</f>
        <v>Pakistan|GDP growth (annual %)|2022</v>
      </c>
    </row>
    <row r="31" spans="1:7" x14ac:dyDescent="0.3">
      <c r="A31" s="2" t="s">
        <v>39</v>
      </c>
      <c r="B31" s="2" t="s">
        <v>76</v>
      </c>
      <c r="C31" s="2" t="s">
        <v>67</v>
      </c>
      <c r="D31" s="2" t="s">
        <v>24</v>
      </c>
      <c r="E31" s="2" t="s">
        <v>165</v>
      </c>
      <c r="F31" s="2">
        <v>-0.41493599708840634</v>
      </c>
      <c r="G31" s="2" t="str">
        <f>Table1_1[[#This Row],[Country Name]]&amp;"|"&amp;Table1_1[[#This Row],[Series Name]]&amp;"|"&amp;Table1_1[[#This Row],[Years]]</f>
        <v>Pakistan|GDP growth (annual %)|2023</v>
      </c>
    </row>
    <row r="32" spans="1:7" x14ac:dyDescent="0.3">
      <c r="A32" s="2" t="s">
        <v>39</v>
      </c>
      <c r="B32" s="2" t="s">
        <v>76</v>
      </c>
      <c r="C32" s="2" t="s">
        <v>67</v>
      </c>
      <c r="D32" s="2" t="s">
        <v>24</v>
      </c>
      <c r="E32" s="2" t="s">
        <v>166</v>
      </c>
      <c r="F32" s="2">
        <v>3.0817629557930104</v>
      </c>
      <c r="G32" s="2" t="str">
        <f>Table1_1[[#This Row],[Country Name]]&amp;"|"&amp;Table1_1[[#This Row],[Series Name]]&amp;"|"&amp;Table1_1[[#This Row],[Years]]</f>
        <v>Pakistan|GDP growth (annual %)|2024</v>
      </c>
    </row>
    <row r="33" spans="1:7" x14ac:dyDescent="0.3">
      <c r="A33" s="2" t="s">
        <v>39</v>
      </c>
      <c r="B33" s="2" t="s">
        <v>76</v>
      </c>
      <c r="C33" s="2" t="s">
        <v>67</v>
      </c>
      <c r="D33" s="2" t="s">
        <v>24</v>
      </c>
      <c r="E33" s="2" t="s">
        <v>167</v>
      </c>
      <c r="F33" s="2">
        <v>3.6984266874903255</v>
      </c>
      <c r="G33" s="2" t="str">
        <f>Table1_1[[#This Row],[Country Name]]&amp;"|"&amp;Table1_1[[#This Row],[Series Name]]&amp;"|"&amp;Table1_1[[#This Row],[Years]]</f>
        <v>Pakistan|GDP growth (annual %)|2025</v>
      </c>
    </row>
    <row r="34" spans="1:7" x14ac:dyDescent="0.3">
      <c r="A34" s="2" t="s">
        <v>39</v>
      </c>
      <c r="B34" s="2" t="s">
        <v>76</v>
      </c>
      <c r="C34" s="2" t="s">
        <v>79</v>
      </c>
      <c r="D34" s="2" t="s">
        <v>91</v>
      </c>
      <c r="E34" s="2" t="s">
        <v>152</v>
      </c>
      <c r="F34" s="2">
        <v>12.938870563488919</v>
      </c>
      <c r="G34" s="2" t="str">
        <f>Table1_1[[#This Row],[Country Name]]&amp;"|"&amp;Table1_1[[#This Row],[Series Name]]&amp;"|"&amp;Table1_1[[#This Row],[Years]]</f>
        <v>Pakistan|Inflation, consumer prices (annual %)|2010</v>
      </c>
    </row>
    <row r="35" spans="1:7" x14ac:dyDescent="0.3">
      <c r="A35" s="2" t="s">
        <v>39</v>
      </c>
      <c r="B35" s="2" t="s">
        <v>76</v>
      </c>
      <c r="C35" s="2" t="s">
        <v>79</v>
      </c>
      <c r="D35" s="2" t="s">
        <v>91</v>
      </c>
      <c r="E35" s="2" t="s">
        <v>153</v>
      </c>
      <c r="F35" s="2">
        <v>11.9160927116277</v>
      </c>
      <c r="G35" s="2" t="str">
        <f>Table1_1[[#This Row],[Country Name]]&amp;"|"&amp;Table1_1[[#This Row],[Series Name]]&amp;"|"&amp;Table1_1[[#This Row],[Years]]</f>
        <v>Pakistan|Inflation, consumer prices (annual %)|2011</v>
      </c>
    </row>
    <row r="36" spans="1:7" x14ac:dyDescent="0.3">
      <c r="A36" s="2" t="s">
        <v>39</v>
      </c>
      <c r="B36" s="2" t="s">
        <v>76</v>
      </c>
      <c r="C36" s="2" t="s">
        <v>79</v>
      </c>
      <c r="D36" s="2" t="s">
        <v>91</v>
      </c>
      <c r="E36" s="2" t="s">
        <v>154</v>
      </c>
      <c r="F36" s="2">
        <v>9.6823518605568388</v>
      </c>
      <c r="G36" s="2" t="str">
        <f>Table1_1[[#This Row],[Country Name]]&amp;"|"&amp;Table1_1[[#This Row],[Series Name]]&amp;"|"&amp;Table1_1[[#This Row],[Years]]</f>
        <v>Pakistan|Inflation, consumer prices (annual %)|2012</v>
      </c>
    </row>
    <row r="37" spans="1:7" x14ac:dyDescent="0.3">
      <c r="A37" s="2" t="s">
        <v>39</v>
      </c>
      <c r="B37" s="2" t="s">
        <v>76</v>
      </c>
      <c r="C37" s="2" t="s">
        <v>79</v>
      </c>
      <c r="D37" s="2" t="s">
        <v>91</v>
      </c>
      <c r="E37" s="2" t="s">
        <v>155</v>
      </c>
      <c r="F37" s="2">
        <v>7.6921561189956469</v>
      </c>
      <c r="G37" s="2" t="str">
        <f>Table1_1[[#This Row],[Country Name]]&amp;"|"&amp;Table1_1[[#This Row],[Series Name]]&amp;"|"&amp;Table1_1[[#This Row],[Years]]</f>
        <v>Pakistan|Inflation, consumer prices (annual %)|2013</v>
      </c>
    </row>
    <row r="38" spans="1:7" x14ac:dyDescent="0.3">
      <c r="A38" s="2" t="s">
        <v>39</v>
      </c>
      <c r="B38" s="2" t="s">
        <v>76</v>
      </c>
      <c r="C38" s="2" t="s">
        <v>79</v>
      </c>
      <c r="D38" s="2" t="s">
        <v>91</v>
      </c>
      <c r="E38" s="2" t="s">
        <v>156</v>
      </c>
      <c r="F38" s="2">
        <v>7.1893840284702764</v>
      </c>
      <c r="G38" s="2" t="str">
        <f>Table1_1[[#This Row],[Country Name]]&amp;"|"&amp;Table1_1[[#This Row],[Series Name]]&amp;"|"&amp;Table1_1[[#This Row],[Years]]</f>
        <v>Pakistan|Inflation, consumer prices (annual %)|2014</v>
      </c>
    </row>
    <row r="39" spans="1:7" x14ac:dyDescent="0.3">
      <c r="A39" s="2" t="s">
        <v>39</v>
      </c>
      <c r="B39" s="2" t="s">
        <v>76</v>
      </c>
      <c r="C39" s="2" t="s">
        <v>79</v>
      </c>
      <c r="D39" s="2" t="s">
        <v>91</v>
      </c>
      <c r="E39" s="2" t="s">
        <v>157</v>
      </c>
      <c r="F39" s="2">
        <v>2.5293281725422858</v>
      </c>
      <c r="G39" s="2" t="str">
        <f>Table1_1[[#This Row],[Country Name]]&amp;"|"&amp;Table1_1[[#This Row],[Series Name]]&amp;"|"&amp;Table1_1[[#This Row],[Years]]</f>
        <v>Pakistan|Inflation, consumer prices (annual %)|2015</v>
      </c>
    </row>
    <row r="40" spans="1:7" x14ac:dyDescent="0.3">
      <c r="A40" s="2" t="s">
        <v>39</v>
      </c>
      <c r="B40" s="2" t="s">
        <v>76</v>
      </c>
      <c r="C40" s="2" t="s">
        <v>79</v>
      </c>
      <c r="D40" s="2" t="s">
        <v>91</v>
      </c>
      <c r="E40" s="2" t="s">
        <v>158</v>
      </c>
      <c r="F40" s="2">
        <v>3.7651191635658048</v>
      </c>
      <c r="G40" s="2" t="str">
        <f>Table1_1[[#This Row],[Country Name]]&amp;"|"&amp;Table1_1[[#This Row],[Series Name]]&amp;"|"&amp;Table1_1[[#This Row],[Years]]</f>
        <v>Pakistan|Inflation, consumer prices (annual %)|2016</v>
      </c>
    </row>
    <row r="41" spans="1:7" x14ac:dyDescent="0.3">
      <c r="A41" s="2" t="s">
        <v>39</v>
      </c>
      <c r="B41" s="2" t="s">
        <v>76</v>
      </c>
      <c r="C41" s="2" t="s">
        <v>79</v>
      </c>
      <c r="D41" s="2" t="s">
        <v>91</v>
      </c>
      <c r="E41" s="2" t="s">
        <v>159</v>
      </c>
      <c r="F41" s="2">
        <v>4.0853736803260796</v>
      </c>
      <c r="G41" s="2" t="str">
        <f>Table1_1[[#This Row],[Country Name]]&amp;"|"&amp;Table1_1[[#This Row],[Series Name]]&amp;"|"&amp;Table1_1[[#This Row],[Years]]</f>
        <v>Pakistan|Inflation, consumer prices (annual %)|2017</v>
      </c>
    </row>
    <row r="42" spans="1:7" x14ac:dyDescent="0.3">
      <c r="A42" s="2" t="s">
        <v>39</v>
      </c>
      <c r="B42" s="2" t="s">
        <v>76</v>
      </c>
      <c r="C42" s="2" t="s">
        <v>79</v>
      </c>
      <c r="D42" s="2" t="s">
        <v>91</v>
      </c>
      <c r="E42" s="2" t="s">
        <v>160</v>
      </c>
      <c r="F42" s="2">
        <v>5.0780572586891681</v>
      </c>
      <c r="G42" s="2" t="str">
        <f>Table1_1[[#This Row],[Country Name]]&amp;"|"&amp;Table1_1[[#This Row],[Series Name]]&amp;"|"&amp;Table1_1[[#This Row],[Years]]</f>
        <v>Pakistan|Inflation, consumer prices (annual %)|2018</v>
      </c>
    </row>
    <row r="43" spans="1:7" x14ac:dyDescent="0.3">
      <c r="A43" s="2" t="s">
        <v>39</v>
      </c>
      <c r="B43" s="2" t="s">
        <v>76</v>
      </c>
      <c r="C43" s="2" t="s">
        <v>79</v>
      </c>
      <c r="D43" s="2" t="s">
        <v>91</v>
      </c>
      <c r="E43" s="2" t="s">
        <v>161</v>
      </c>
      <c r="F43" s="2">
        <v>10.578030567202481</v>
      </c>
      <c r="G43" s="2" t="str">
        <f>Table1_1[[#This Row],[Country Name]]&amp;"|"&amp;Table1_1[[#This Row],[Series Name]]&amp;"|"&amp;Table1_1[[#This Row],[Years]]</f>
        <v>Pakistan|Inflation, consumer prices (annual %)|2019</v>
      </c>
    </row>
    <row r="44" spans="1:7" x14ac:dyDescent="0.3">
      <c r="A44" s="2" t="s">
        <v>39</v>
      </c>
      <c r="B44" s="2" t="s">
        <v>76</v>
      </c>
      <c r="C44" s="2" t="s">
        <v>79</v>
      </c>
      <c r="D44" s="2" t="s">
        <v>91</v>
      </c>
      <c r="E44" s="2" t="s">
        <v>162</v>
      </c>
      <c r="F44" s="2">
        <v>9.7401161932012545</v>
      </c>
      <c r="G44" s="2" t="str">
        <f>Table1_1[[#This Row],[Country Name]]&amp;"|"&amp;Table1_1[[#This Row],[Series Name]]&amp;"|"&amp;Table1_1[[#This Row],[Years]]</f>
        <v>Pakistan|Inflation, consumer prices (annual %)|2020</v>
      </c>
    </row>
    <row r="45" spans="1:7" x14ac:dyDescent="0.3">
      <c r="A45" s="2" t="s">
        <v>39</v>
      </c>
      <c r="B45" s="2" t="s">
        <v>76</v>
      </c>
      <c r="C45" s="2" t="s">
        <v>79</v>
      </c>
      <c r="D45" s="2" t="s">
        <v>91</v>
      </c>
      <c r="E45" s="2" t="s">
        <v>163</v>
      </c>
      <c r="F45" s="2">
        <v>9.4964157728520515</v>
      </c>
      <c r="G45" s="2" t="str">
        <f>Table1_1[[#This Row],[Country Name]]&amp;"|"&amp;Table1_1[[#This Row],[Series Name]]&amp;"|"&amp;Table1_1[[#This Row],[Years]]</f>
        <v>Pakistan|Inflation, consumer prices (annual %)|2021</v>
      </c>
    </row>
    <row r="46" spans="1:7" x14ac:dyDescent="0.3">
      <c r="A46" s="2" t="s">
        <v>39</v>
      </c>
      <c r="B46" s="2" t="s">
        <v>76</v>
      </c>
      <c r="C46" s="2" t="s">
        <v>79</v>
      </c>
      <c r="D46" s="2" t="s">
        <v>91</v>
      </c>
      <c r="E46" s="2" t="s">
        <v>164</v>
      </c>
      <c r="F46" s="2">
        <v>19.873859964665549</v>
      </c>
      <c r="G46" s="2" t="str">
        <f>Table1_1[[#This Row],[Country Name]]&amp;"|"&amp;Table1_1[[#This Row],[Series Name]]&amp;"|"&amp;Table1_1[[#This Row],[Years]]</f>
        <v>Pakistan|Inflation, consumer prices (annual %)|2022</v>
      </c>
    </row>
    <row r="47" spans="1:7" x14ac:dyDescent="0.3">
      <c r="A47" s="2" t="s">
        <v>39</v>
      </c>
      <c r="B47" s="2" t="s">
        <v>76</v>
      </c>
      <c r="C47" s="2" t="s">
        <v>79</v>
      </c>
      <c r="D47" s="2" t="s">
        <v>91</v>
      </c>
      <c r="E47" s="2" t="s">
        <v>165</v>
      </c>
      <c r="F47" s="2">
        <v>30.76812806570052</v>
      </c>
      <c r="G47" s="2" t="str">
        <f>Table1_1[[#This Row],[Country Name]]&amp;"|"&amp;Table1_1[[#This Row],[Series Name]]&amp;"|"&amp;Table1_1[[#This Row],[Years]]</f>
        <v>Pakistan|Inflation, consumer prices (annual %)|2023</v>
      </c>
    </row>
    <row r="48" spans="1:7" x14ac:dyDescent="0.3">
      <c r="A48" s="2" t="s">
        <v>39</v>
      </c>
      <c r="B48" s="2" t="s">
        <v>76</v>
      </c>
      <c r="C48" s="2" t="s">
        <v>79</v>
      </c>
      <c r="D48" s="2" t="s">
        <v>91</v>
      </c>
      <c r="E48" s="2" t="s">
        <v>166</v>
      </c>
      <c r="F48" s="2">
        <v>12.63253185304518</v>
      </c>
      <c r="G48" s="2" t="str">
        <f>Table1_1[[#This Row],[Country Name]]&amp;"|"&amp;Table1_1[[#This Row],[Series Name]]&amp;"|"&amp;Table1_1[[#This Row],[Years]]</f>
        <v>Pakistan|Inflation, consumer prices (annual %)|2024</v>
      </c>
    </row>
    <row r="49" spans="1:7" x14ac:dyDescent="0.3">
      <c r="A49" s="2" t="s">
        <v>39</v>
      </c>
      <c r="B49" s="2" t="s">
        <v>76</v>
      </c>
      <c r="C49" s="2" t="s">
        <v>79</v>
      </c>
      <c r="D49" s="2" t="s">
        <v>91</v>
      </c>
      <c r="E49" s="2" t="s">
        <v>167</v>
      </c>
      <c r="F49" s="2">
        <v>3.5455521489089281</v>
      </c>
      <c r="G49" s="2" t="str">
        <f>Table1_1[[#This Row],[Country Name]]&amp;"|"&amp;Table1_1[[#This Row],[Series Name]]&amp;"|"&amp;Table1_1[[#This Row],[Years]]</f>
        <v>Pakistan|Inflation, consumer prices (annual %)|2025</v>
      </c>
    </row>
    <row r="50" spans="1:7" x14ac:dyDescent="0.3">
      <c r="A50" s="2" t="s">
        <v>39</v>
      </c>
      <c r="B50" s="2" t="s">
        <v>76</v>
      </c>
      <c r="C50" s="2" t="s">
        <v>146</v>
      </c>
      <c r="D50" s="2" t="s">
        <v>131</v>
      </c>
      <c r="E50" s="2" t="s">
        <v>152</v>
      </c>
      <c r="F50" s="2">
        <v>0.65300000000000002</v>
      </c>
      <c r="G50" s="2" t="str">
        <f>Table1_1[[#This Row],[Country Name]]&amp;"|"&amp;Table1_1[[#This Row],[Series Name]]&amp;"|"&amp;Table1_1[[#This Row],[Years]]</f>
        <v>Pakistan|Unemployment, total (% of total labor force) (modeled ILO estimate)|2010</v>
      </c>
    </row>
    <row r="51" spans="1:7" x14ac:dyDescent="0.3">
      <c r="A51" s="2" t="s">
        <v>39</v>
      </c>
      <c r="B51" s="2" t="s">
        <v>76</v>
      </c>
      <c r="C51" s="2" t="s">
        <v>146</v>
      </c>
      <c r="D51" s="2" t="s">
        <v>131</v>
      </c>
      <c r="E51" s="2" t="s">
        <v>153</v>
      </c>
      <c r="F51" s="2">
        <v>0.79600000000000004</v>
      </c>
      <c r="G51" s="2" t="str">
        <f>Table1_1[[#This Row],[Country Name]]&amp;"|"&amp;Table1_1[[#This Row],[Series Name]]&amp;"|"&amp;Table1_1[[#This Row],[Years]]</f>
        <v>Pakistan|Unemployment, total (% of total labor force) (modeled ILO estimate)|2011</v>
      </c>
    </row>
    <row r="52" spans="1:7" x14ac:dyDescent="0.3">
      <c r="A52" s="2" t="s">
        <v>39</v>
      </c>
      <c r="B52" s="2" t="s">
        <v>76</v>
      </c>
      <c r="C52" s="2" t="s">
        <v>146</v>
      </c>
      <c r="D52" s="2" t="s">
        <v>131</v>
      </c>
      <c r="E52" s="2" t="s">
        <v>154</v>
      </c>
      <c r="F52" s="2">
        <v>3.6669999999999998</v>
      </c>
      <c r="G52" s="2" t="str">
        <f>Table1_1[[#This Row],[Country Name]]&amp;"|"&amp;Table1_1[[#This Row],[Series Name]]&amp;"|"&amp;Table1_1[[#This Row],[Years]]</f>
        <v>Pakistan|Unemployment, total (% of total labor force) (modeled ILO estimate)|2012</v>
      </c>
    </row>
    <row r="53" spans="1:7" x14ac:dyDescent="0.3">
      <c r="A53" s="2" t="s">
        <v>39</v>
      </c>
      <c r="B53" s="2" t="s">
        <v>76</v>
      </c>
      <c r="C53" s="2" t="s">
        <v>146</v>
      </c>
      <c r="D53" s="2" t="s">
        <v>131</v>
      </c>
      <c r="E53" s="2" t="s">
        <v>155</v>
      </c>
      <c r="F53" s="2">
        <v>2.9540000000000002</v>
      </c>
      <c r="G53" s="2" t="str">
        <f>Table1_1[[#This Row],[Country Name]]&amp;"|"&amp;Table1_1[[#This Row],[Series Name]]&amp;"|"&amp;Table1_1[[#This Row],[Years]]</f>
        <v>Pakistan|Unemployment, total (% of total labor force) (modeled ILO estimate)|2013</v>
      </c>
    </row>
    <row r="54" spans="1:7" x14ac:dyDescent="0.3">
      <c r="A54" s="2" t="s">
        <v>39</v>
      </c>
      <c r="B54" s="2" t="s">
        <v>76</v>
      </c>
      <c r="C54" s="2" t="s">
        <v>146</v>
      </c>
      <c r="D54" s="2" t="s">
        <v>131</v>
      </c>
      <c r="E54" s="2" t="s">
        <v>156</v>
      </c>
      <c r="F54" s="2">
        <v>1.827</v>
      </c>
      <c r="G54" s="2" t="str">
        <f>Table1_1[[#This Row],[Country Name]]&amp;"|"&amp;Table1_1[[#This Row],[Series Name]]&amp;"|"&amp;Table1_1[[#This Row],[Years]]</f>
        <v>Pakistan|Unemployment, total (% of total labor force) (modeled ILO estimate)|2014</v>
      </c>
    </row>
    <row r="55" spans="1:7" x14ac:dyDescent="0.3">
      <c r="A55" s="2" t="s">
        <v>39</v>
      </c>
      <c r="B55" s="2" t="s">
        <v>76</v>
      </c>
      <c r="C55" s="2" t="s">
        <v>146</v>
      </c>
      <c r="D55" s="2" t="s">
        <v>131</v>
      </c>
      <c r="E55" s="2" t="s">
        <v>157</v>
      </c>
      <c r="F55" s="2">
        <v>3.5659999999999998</v>
      </c>
      <c r="G55" s="2" t="str">
        <f>Table1_1[[#This Row],[Country Name]]&amp;"|"&amp;Table1_1[[#This Row],[Series Name]]&amp;"|"&amp;Table1_1[[#This Row],[Years]]</f>
        <v>Pakistan|Unemployment, total (% of total labor force) (modeled ILO estimate)|2015</v>
      </c>
    </row>
    <row r="56" spans="1:7" x14ac:dyDescent="0.3">
      <c r="A56" s="2" t="s">
        <v>39</v>
      </c>
      <c r="B56" s="2" t="s">
        <v>76</v>
      </c>
      <c r="C56" s="2" t="s">
        <v>146</v>
      </c>
      <c r="D56" s="2" t="s">
        <v>131</v>
      </c>
      <c r="E56" s="2" t="s">
        <v>158</v>
      </c>
      <c r="F56" s="2">
        <v>2.2850000000000001</v>
      </c>
      <c r="G56" s="2" t="str">
        <f>Table1_1[[#This Row],[Country Name]]&amp;"|"&amp;Table1_1[[#This Row],[Series Name]]&amp;"|"&amp;Table1_1[[#This Row],[Years]]</f>
        <v>Pakistan|Unemployment, total (% of total labor force) (modeled ILO estimate)|2016</v>
      </c>
    </row>
    <row r="57" spans="1:7" x14ac:dyDescent="0.3">
      <c r="A57" s="2" t="s">
        <v>39</v>
      </c>
      <c r="B57" s="2" t="s">
        <v>76</v>
      </c>
      <c r="C57" s="2" t="s">
        <v>146</v>
      </c>
      <c r="D57" s="2" t="s">
        <v>131</v>
      </c>
      <c r="E57" s="2" t="s">
        <v>159</v>
      </c>
      <c r="F57" s="2">
        <v>3.2040000000000002</v>
      </c>
      <c r="G57" s="2" t="str">
        <f>Table1_1[[#This Row],[Country Name]]&amp;"|"&amp;Table1_1[[#This Row],[Series Name]]&amp;"|"&amp;Table1_1[[#This Row],[Years]]</f>
        <v>Pakistan|Unemployment, total (% of total labor force) (modeled ILO estimate)|2017</v>
      </c>
    </row>
    <row r="58" spans="1:7" x14ac:dyDescent="0.3">
      <c r="A58" s="2" t="s">
        <v>39</v>
      </c>
      <c r="B58" s="2" t="s">
        <v>76</v>
      </c>
      <c r="C58" s="2" t="s">
        <v>146</v>
      </c>
      <c r="D58" s="2" t="s">
        <v>131</v>
      </c>
      <c r="E58" s="2" t="s">
        <v>160</v>
      </c>
      <c r="F58" s="2">
        <v>4.0830000000000002</v>
      </c>
      <c r="G58" s="2" t="str">
        <f>Table1_1[[#This Row],[Country Name]]&amp;"|"&amp;Table1_1[[#This Row],[Series Name]]&amp;"|"&amp;Table1_1[[#This Row],[Years]]</f>
        <v>Pakistan|Unemployment, total (% of total labor force) (modeled ILO estimate)|2018</v>
      </c>
    </row>
    <row r="59" spans="1:7" x14ac:dyDescent="0.3">
      <c r="A59" s="2" t="s">
        <v>39</v>
      </c>
      <c r="B59" s="2" t="s">
        <v>76</v>
      </c>
      <c r="C59" s="2" t="s">
        <v>146</v>
      </c>
      <c r="D59" s="2" t="s">
        <v>131</v>
      </c>
      <c r="E59" s="2" t="s">
        <v>161</v>
      </c>
      <c r="F59" s="2">
        <v>4.83</v>
      </c>
      <c r="G59" s="2" t="str">
        <f>Table1_1[[#This Row],[Country Name]]&amp;"|"&amp;Table1_1[[#This Row],[Series Name]]&amp;"|"&amp;Table1_1[[#This Row],[Years]]</f>
        <v>Pakistan|Unemployment, total (% of total labor force) (modeled ILO estimate)|2019</v>
      </c>
    </row>
    <row r="60" spans="1:7" x14ac:dyDescent="0.3">
      <c r="A60" s="2" t="s">
        <v>39</v>
      </c>
      <c r="B60" s="2" t="s">
        <v>76</v>
      </c>
      <c r="C60" s="2" t="s">
        <v>146</v>
      </c>
      <c r="D60" s="2" t="s">
        <v>131</v>
      </c>
      <c r="E60" s="2" t="s">
        <v>162</v>
      </c>
      <c r="F60" s="2">
        <v>5.9939999999999998</v>
      </c>
      <c r="G60" s="2" t="str">
        <f>Table1_1[[#This Row],[Country Name]]&amp;"|"&amp;Table1_1[[#This Row],[Series Name]]&amp;"|"&amp;Table1_1[[#This Row],[Years]]</f>
        <v>Pakistan|Unemployment, total (% of total labor force) (modeled ILO estimate)|2020</v>
      </c>
    </row>
    <row r="61" spans="1:7" x14ac:dyDescent="0.3">
      <c r="A61" s="2" t="s">
        <v>39</v>
      </c>
      <c r="B61" s="2" t="s">
        <v>76</v>
      </c>
      <c r="C61" s="2" t="s">
        <v>146</v>
      </c>
      <c r="D61" s="2" t="s">
        <v>131</v>
      </c>
      <c r="E61" s="2" t="s">
        <v>163</v>
      </c>
      <c r="F61" s="2">
        <v>6.3380000000000001</v>
      </c>
      <c r="G61" s="2" t="str">
        <f>Table1_1[[#This Row],[Country Name]]&amp;"|"&amp;Table1_1[[#This Row],[Series Name]]&amp;"|"&amp;Table1_1[[#This Row],[Years]]</f>
        <v>Pakistan|Unemployment, total (% of total labor force) (modeled ILO estimate)|2021</v>
      </c>
    </row>
    <row r="62" spans="1:7" x14ac:dyDescent="0.3">
      <c r="A62" s="2" t="s">
        <v>39</v>
      </c>
      <c r="B62" s="2" t="s">
        <v>76</v>
      </c>
      <c r="C62" s="2" t="s">
        <v>146</v>
      </c>
      <c r="D62" s="2" t="s">
        <v>131</v>
      </c>
      <c r="E62" s="2" t="s">
        <v>164</v>
      </c>
      <c r="F62" s="2">
        <v>5.2910000000000004</v>
      </c>
      <c r="G62" s="2" t="str">
        <f>Table1_1[[#This Row],[Country Name]]&amp;"|"&amp;Table1_1[[#This Row],[Series Name]]&amp;"|"&amp;Table1_1[[#This Row],[Years]]</f>
        <v>Pakistan|Unemployment, total (% of total labor force) (modeled ILO estimate)|2022</v>
      </c>
    </row>
    <row r="63" spans="1:7" x14ac:dyDescent="0.3">
      <c r="A63" s="2" t="s">
        <v>39</v>
      </c>
      <c r="B63" s="2" t="s">
        <v>76</v>
      </c>
      <c r="C63" s="2" t="s">
        <v>146</v>
      </c>
      <c r="D63" s="2" t="s">
        <v>131</v>
      </c>
      <c r="E63" s="2" t="s">
        <v>165</v>
      </c>
      <c r="F63" s="2">
        <v>5.2370000000000001</v>
      </c>
      <c r="G63" s="2" t="str">
        <f>Table1_1[[#This Row],[Country Name]]&amp;"|"&amp;Table1_1[[#This Row],[Series Name]]&amp;"|"&amp;Table1_1[[#This Row],[Years]]</f>
        <v>Pakistan|Unemployment, total (% of total labor force) (modeled ILO estimate)|2023</v>
      </c>
    </row>
    <row r="64" spans="1:7" x14ac:dyDescent="0.3">
      <c r="A64" s="2" t="s">
        <v>39</v>
      </c>
      <c r="B64" s="2" t="s">
        <v>76</v>
      </c>
      <c r="C64" s="2" t="s">
        <v>146</v>
      </c>
      <c r="D64" s="2" t="s">
        <v>131</v>
      </c>
      <c r="E64" s="2" t="s">
        <v>166</v>
      </c>
      <c r="F64" s="2">
        <v>5.492</v>
      </c>
      <c r="G64" s="2" t="str">
        <f>Table1_1[[#This Row],[Country Name]]&amp;"|"&amp;Table1_1[[#This Row],[Series Name]]&amp;"|"&amp;Table1_1[[#This Row],[Years]]</f>
        <v>Pakistan|Unemployment, total (% of total labor force) (modeled ILO estimate)|2024</v>
      </c>
    </row>
    <row r="65" spans="1:7" x14ac:dyDescent="0.3">
      <c r="A65" s="2" t="s">
        <v>39</v>
      </c>
      <c r="B65" s="2" t="s">
        <v>76</v>
      </c>
      <c r="C65" s="2" t="s">
        <v>146</v>
      </c>
      <c r="D65" s="2" t="s">
        <v>131</v>
      </c>
      <c r="E65" s="2" t="s">
        <v>167</v>
      </c>
      <c r="F65" s="2">
        <v>5.42</v>
      </c>
      <c r="G65" s="2" t="str">
        <f>Table1_1[[#This Row],[Country Name]]&amp;"|"&amp;Table1_1[[#This Row],[Series Name]]&amp;"|"&amp;Table1_1[[#This Row],[Years]]</f>
        <v>Pakistan|Unemployment, total (% of total labor force) (modeled ILO estimate)|2025</v>
      </c>
    </row>
    <row r="66" spans="1:7" x14ac:dyDescent="0.3">
      <c r="A66" s="2" t="s">
        <v>39</v>
      </c>
      <c r="B66" s="2" t="s">
        <v>76</v>
      </c>
      <c r="C66" s="2" t="s">
        <v>34</v>
      </c>
      <c r="D66" s="2" t="s">
        <v>17</v>
      </c>
      <c r="E66" s="2" t="s">
        <v>152</v>
      </c>
      <c r="F66" s="2">
        <v>14.0425</v>
      </c>
      <c r="G66" s="2" t="str">
        <f>Table1_1[[#This Row],[Country Name]]&amp;"|"&amp;Table1_1[[#This Row],[Series Name]]&amp;"|"&amp;Table1_1[[#This Row],[Years]]</f>
        <v>Pakistan|Lending interest rate (%)|2010</v>
      </c>
    </row>
    <row r="67" spans="1:7" x14ac:dyDescent="0.3">
      <c r="A67" s="2" t="s">
        <v>39</v>
      </c>
      <c r="B67" s="2" t="s">
        <v>76</v>
      </c>
      <c r="C67" s="2" t="s">
        <v>34</v>
      </c>
      <c r="D67" s="2" t="s">
        <v>17</v>
      </c>
      <c r="E67" s="2" t="s">
        <v>153</v>
      </c>
      <c r="F67" s="2">
        <v>14.419166666666699</v>
      </c>
      <c r="G67" s="2" t="str">
        <f>Table1_1[[#This Row],[Country Name]]&amp;"|"&amp;Table1_1[[#This Row],[Series Name]]&amp;"|"&amp;Table1_1[[#This Row],[Years]]</f>
        <v>Pakistan|Lending interest rate (%)|2011</v>
      </c>
    </row>
    <row r="68" spans="1:7" x14ac:dyDescent="0.3">
      <c r="A68" s="2" t="s">
        <v>39</v>
      </c>
      <c r="B68" s="2" t="s">
        <v>76</v>
      </c>
      <c r="C68" s="2" t="s">
        <v>34</v>
      </c>
      <c r="D68" s="2" t="s">
        <v>17</v>
      </c>
      <c r="E68" s="2" t="s">
        <v>154</v>
      </c>
      <c r="F68" s="2">
        <v>13.519166666666701</v>
      </c>
      <c r="G68" s="2" t="str">
        <f>Table1_1[[#This Row],[Country Name]]&amp;"|"&amp;Table1_1[[#This Row],[Series Name]]&amp;"|"&amp;Table1_1[[#This Row],[Years]]</f>
        <v>Pakistan|Lending interest rate (%)|2012</v>
      </c>
    </row>
    <row r="69" spans="1:7" x14ac:dyDescent="0.3">
      <c r="A69" s="2" t="s">
        <v>39</v>
      </c>
      <c r="B69" s="2" t="s">
        <v>76</v>
      </c>
      <c r="C69" s="2" t="s">
        <v>34</v>
      </c>
      <c r="D69" s="2" t="s">
        <v>17</v>
      </c>
      <c r="E69" s="2" t="s">
        <v>155</v>
      </c>
      <c r="F69" s="2">
        <v>11.9858333333333</v>
      </c>
      <c r="G69" s="2" t="str">
        <f>Table1_1[[#This Row],[Country Name]]&amp;"|"&amp;Table1_1[[#This Row],[Series Name]]&amp;"|"&amp;Table1_1[[#This Row],[Years]]</f>
        <v>Pakistan|Lending interest rate (%)|2013</v>
      </c>
    </row>
    <row r="70" spans="1:7" x14ac:dyDescent="0.3">
      <c r="A70" s="2" t="s">
        <v>39</v>
      </c>
      <c r="B70" s="2" t="s">
        <v>76</v>
      </c>
      <c r="C70" s="2" t="s">
        <v>34</v>
      </c>
      <c r="D70" s="2" t="s">
        <v>17</v>
      </c>
      <c r="E70" s="2" t="s">
        <v>156</v>
      </c>
      <c r="F70" s="2">
        <v>11.73</v>
      </c>
      <c r="G70" s="2" t="str">
        <f>Table1_1[[#This Row],[Country Name]]&amp;"|"&amp;Table1_1[[#This Row],[Series Name]]&amp;"|"&amp;Table1_1[[#This Row],[Years]]</f>
        <v>Pakistan|Lending interest rate (%)|2014</v>
      </c>
    </row>
    <row r="71" spans="1:7" x14ac:dyDescent="0.3">
      <c r="A71" s="2" t="s">
        <v>39</v>
      </c>
      <c r="B71" s="2" t="s">
        <v>76</v>
      </c>
      <c r="C71" s="2" t="s">
        <v>34</v>
      </c>
      <c r="D71" s="2" t="s">
        <v>17</v>
      </c>
      <c r="E71" s="2" t="s">
        <v>157</v>
      </c>
      <c r="F71" s="2">
        <v>10.1558333333333</v>
      </c>
      <c r="G71" s="2" t="str">
        <f>Table1_1[[#This Row],[Country Name]]&amp;"|"&amp;Table1_1[[#This Row],[Series Name]]&amp;"|"&amp;Table1_1[[#This Row],[Years]]</f>
        <v>Pakistan|Lending interest rate (%)|2015</v>
      </c>
    </row>
    <row r="72" spans="1:7" x14ac:dyDescent="0.3">
      <c r="A72" s="2" t="s">
        <v>39</v>
      </c>
      <c r="B72" s="2" t="s">
        <v>76</v>
      </c>
      <c r="C72" s="2" t="s">
        <v>34</v>
      </c>
      <c r="D72" s="2" t="s">
        <v>17</v>
      </c>
      <c r="E72" s="2" t="s">
        <v>158</v>
      </c>
      <c r="F72" s="2">
        <v>8.7550000000000008</v>
      </c>
      <c r="G72" s="2" t="str">
        <f>Table1_1[[#This Row],[Country Name]]&amp;"|"&amp;Table1_1[[#This Row],[Series Name]]&amp;"|"&amp;Table1_1[[#This Row],[Years]]</f>
        <v>Pakistan|Lending interest rate (%)|2016</v>
      </c>
    </row>
    <row r="73" spans="1:7" x14ac:dyDescent="0.3">
      <c r="A73" s="2" t="s">
        <v>39</v>
      </c>
      <c r="B73" s="2" t="s">
        <v>76</v>
      </c>
      <c r="C73" s="2" t="s">
        <v>34</v>
      </c>
      <c r="D73" s="2" t="s">
        <v>17</v>
      </c>
      <c r="E73" s="2" t="s">
        <v>159</v>
      </c>
      <c r="F73" s="2">
        <v>8.2100000000000009</v>
      </c>
      <c r="G73" s="2" t="str">
        <f>Table1_1[[#This Row],[Country Name]]&amp;"|"&amp;Table1_1[[#This Row],[Series Name]]&amp;"|"&amp;Table1_1[[#This Row],[Years]]</f>
        <v>Pakistan|Lending interest rate (%)|2017</v>
      </c>
    </row>
    <row r="74" spans="1:7" x14ac:dyDescent="0.3">
      <c r="A74" s="2" t="s">
        <v>39</v>
      </c>
      <c r="B74" s="2" t="s">
        <v>76</v>
      </c>
      <c r="C74" s="2" t="s">
        <v>34</v>
      </c>
      <c r="D74" s="2" t="s">
        <v>17</v>
      </c>
      <c r="E74" s="2" t="s">
        <v>160</v>
      </c>
      <c r="F74" s="2">
        <v>8.5308333333333408</v>
      </c>
      <c r="G74" s="2" t="str">
        <f>Table1_1[[#This Row],[Country Name]]&amp;"|"&amp;Table1_1[[#This Row],[Series Name]]&amp;"|"&amp;Table1_1[[#This Row],[Years]]</f>
        <v>Pakistan|Lending interest rate (%)|2018</v>
      </c>
    </row>
    <row r="75" spans="1:7" x14ac:dyDescent="0.3">
      <c r="A75" s="2" t="s">
        <v>39</v>
      </c>
      <c r="B75" s="2" t="s">
        <v>76</v>
      </c>
      <c r="C75" s="2" t="s">
        <v>34</v>
      </c>
      <c r="D75" s="2" t="s">
        <v>17</v>
      </c>
      <c r="E75" s="2" t="s">
        <v>161</v>
      </c>
      <c r="F75" s="2">
        <v>12.233054804152999</v>
      </c>
      <c r="G75" s="2" t="str">
        <f>Table1_1[[#This Row],[Country Name]]&amp;"|"&amp;Table1_1[[#This Row],[Series Name]]&amp;"|"&amp;Table1_1[[#This Row],[Years]]</f>
        <v>Pakistan|Lending interest rate (%)|2019</v>
      </c>
    </row>
    <row r="76" spans="1:7" x14ac:dyDescent="0.3">
      <c r="A76" s="2" t="s">
        <v>39</v>
      </c>
      <c r="B76" s="2" t="s">
        <v>76</v>
      </c>
      <c r="C76" s="2" t="s">
        <v>34</v>
      </c>
      <c r="D76" s="2" t="s">
        <v>17</v>
      </c>
      <c r="E76" s="2" t="s">
        <v>162</v>
      </c>
      <c r="F76" s="2">
        <v>10.757749426799901</v>
      </c>
      <c r="G76" s="2" t="str">
        <f>Table1_1[[#This Row],[Country Name]]&amp;"|"&amp;Table1_1[[#This Row],[Series Name]]&amp;"|"&amp;Table1_1[[#This Row],[Years]]</f>
        <v>Pakistan|Lending interest rate (%)|2020</v>
      </c>
    </row>
    <row r="77" spans="1:7" x14ac:dyDescent="0.3">
      <c r="A77" s="2" t="s">
        <v>39</v>
      </c>
      <c r="B77" s="2" t="s">
        <v>76</v>
      </c>
      <c r="C77" s="2" t="s">
        <v>34</v>
      </c>
      <c r="D77" s="2" t="s">
        <v>17</v>
      </c>
      <c r="E77" s="2" t="s">
        <v>163</v>
      </c>
      <c r="F77" s="2">
        <v>8.6659742147252405</v>
      </c>
      <c r="G77" s="2" t="str">
        <f>Table1_1[[#This Row],[Country Name]]&amp;"|"&amp;Table1_1[[#This Row],[Series Name]]&amp;"|"&amp;Table1_1[[#This Row],[Years]]</f>
        <v>Pakistan|Lending interest rate (%)|2021</v>
      </c>
    </row>
    <row r="78" spans="1:7" x14ac:dyDescent="0.3">
      <c r="A78" s="2" t="s">
        <v>39</v>
      </c>
      <c r="B78" s="2" t="s">
        <v>76</v>
      </c>
      <c r="C78" s="2" t="s">
        <v>34</v>
      </c>
      <c r="D78" s="2" t="s">
        <v>17</v>
      </c>
      <c r="E78" s="2" t="s">
        <v>164</v>
      </c>
      <c r="G78" s="2" t="str">
        <f>Table1_1[[#This Row],[Country Name]]&amp;"|"&amp;Table1_1[[#This Row],[Series Name]]&amp;"|"&amp;Table1_1[[#This Row],[Years]]</f>
        <v>Pakistan|Lending interest rate (%)|2022</v>
      </c>
    </row>
    <row r="79" spans="1:7" x14ac:dyDescent="0.3">
      <c r="A79" s="2" t="s">
        <v>39</v>
      </c>
      <c r="B79" s="2" t="s">
        <v>76</v>
      </c>
      <c r="C79" s="2" t="s">
        <v>34</v>
      </c>
      <c r="D79" s="2" t="s">
        <v>17</v>
      </c>
      <c r="E79" s="2" t="s">
        <v>165</v>
      </c>
      <c r="G79" s="2" t="str">
        <f>Table1_1[[#This Row],[Country Name]]&amp;"|"&amp;Table1_1[[#This Row],[Series Name]]&amp;"|"&amp;Table1_1[[#This Row],[Years]]</f>
        <v>Pakistan|Lending interest rate (%)|2023</v>
      </c>
    </row>
    <row r="80" spans="1:7" x14ac:dyDescent="0.3">
      <c r="A80" s="2" t="s">
        <v>39</v>
      </c>
      <c r="B80" s="2" t="s">
        <v>76</v>
      </c>
      <c r="C80" s="2" t="s">
        <v>34</v>
      </c>
      <c r="D80" s="2" t="s">
        <v>17</v>
      </c>
      <c r="E80" s="2" t="s">
        <v>166</v>
      </c>
      <c r="G80" s="2" t="str">
        <f>Table1_1[[#This Row],[Country Name]]&amp;"|"&amp;Table1_1[[#This Row],[Series Name]]&amp;"|"&amp;Table1_1[[#This Row],[Years]]</f>
        <v>Pakistan|Lending interest rate (%)|2024</v>
      </c>
    </row>
    <row r="81" spans="1:7" x14ac:dyDescent="0.3">
      <c r="A81" s="2" t="s">
        <v>39</v>
      </c>
      <c r="B81" s="2" t="s">
        <v>76</v>
      </c>
      <c r="C81" s="2" t="s">
        <v>34</v>
      </c>
      <c r="D81" s="2" t="s">
        <v>17</v>
      </c>
      <c r="E81" s="2" t="s">
        <v>167</v>
      </c>
      <c r="G81" s="2" t="str">
        <f>Table1_1[[#This Row],[Country Name]]&amp;"|"&amp;Table1_1[[#This Row],[Series Name]]&amp;"|"&amp;Table1_1[[#This Row],[Years]]</f>
        <v>Pakistan|Lending interest rate (%)|2025</v>
      </c>
    </row>
    <row r="82" spans="1:7" x14ac:dyDescent="0.3">
      <c r="A82" s="2" t="s">
        <v>39</v>
      </c>
      <c r="B82" s="2" t="s">
        <v>76</v>
      </c>
      <c r="C82" s="2" t="s">
        <v>83</v>
      </c>
      <c r="D82" s="2" t="s">
        <v>72</v>
      </c>
      <c r="E82" s="2" t="s">
        <v>152</v>
      </c>
      <c r="F82" s="2">
        <v>85.193816325757581</v>
      </c>
      <c r="G82" s="2" t="str">
        <f>Table1_1[[#This Row],[Country Name]]&amp;"|"&amp;Table1_1[[#This Row],[Series Name]]&amp;"|"&amp;Table1_1[[#This Row],[Years]]</f>
        <v>Pakistan|Official exchange rate (LCU per US$, period average)|2010</v>
      </c>
    </row>
    <row r="83" spans="1:7" x14ac:dyDescent="0.3">
      <c r="A83" s="2" t="s">
        <v>39</v>
      </c>
      <c r="B83" s="2" t="s">
        <v>76</v>
      </c>
      <c r="C83" s="2" t="s">
        <v>83</v>
      </c>
      <c r="D83" s="2" t="s">
        <v>72</v>
      </c>
      <c r="E83" s="2" t="s">
        <v>153</v>
      </c>
      <c r="F83" s="2">
        <v>86.343383333333321</v>
      </c>
      <c r="G83" s="2" t="str">
        <f>Table1_1[[#This Row],[Country Name]]&amp;"|"&amp;Table1_1[[#This Row],[Series Name]]&amp;"|"&amp;Table1_1[[#This Row],[Years]]</f>
        <v>Pakistan|Official exchange rate (LCU per US$, period average)|2011</v>
      </c>
    </row>
    <row r="84" spans="1:7" x14ac:dyDescent="0.3">
      <c r="A84" s="2" t="s">
        <v>39</v>
      </c>
      <c r="B84" s="2" t="s">
        <v>76</v>
      </c>
      <c r="C84" s="2" t="s">
        <v>83</v>
      </c>
      <c r="D84" s="2" t="s">
        <v>72</v>
      </c>
      <c r="E84" s="2" t="s">
        <v>154</v>
      </c>
      <c r="F84" s="2">
        <v>93.395197222222222</v>
      </c>
      <c r="G84" s="2" t="str">
        <f>Table1_1[[#This Row],[Country Name]]&amp;"|"&amp;Table1_1[[#This Row],[Series Name]]&amp;"|"&amp;Table1_1[[#This Row],[Years]]</f>
        <v>Pakistan|Official exchange rate (LCU per US$, period average)|2012</v>
      </c>
    </row>
    <row r="85" spans="1:7" x14ac:dyDescent="0.3">
      <c r="A85" s="2" t="s">
        <v>39</v>
      </c>
      <c r="B85" s="2" t="s">
        <v>76</v>
      </c>
      <c r="C85" s="2" t="s">
        <v>83</v>
      </c>
      <c r="D85" s="2" t="s">
        <v>72</v>
      </c>
      <c r="E85" s="2" t="s">
        <v>155</v>
      </c>
      <c r="F85" s="2">
        <v>101.6288992063492</v>
      </c>
      <c r="G85" s="2" t="str">
        <f>Table1_1[[#This Row],[Country Name]]&amp;"|"&amp;Table1_1[[#This Row],[Series Name]]&amp;"|"&amp;Table1_1[[#This Row],[Years]]</f>
        <v>Pakistan|Official exchange rate (LCU per US$, period average)|2013</v>
      </c>
    </row>
    <row r="86" spans="1:7" x14ac:dyDescent="0.3">
      <c r="A86" s="2" t="s">
        <v>39</v>
      </c>
      <c r="B86" s="2" t="s">
        <v>76</v>
      </c>
      <c r="C86" s="2" t="s">
        <v>83</v>
      </c>
      <c r="D86" s="2" t="s">
        <v>72</v>
      </c>
      <c r="E86" s="2" t="s">
        <v>156</v>
      </c>
      <c r="F86" s="2">
        <v>101.100088423521</v>
      </c>
      <c r="G86" s="2" t="str">
        <f>Table1_1[[#This Row],[Country Name]]&amp;"|"&amp;Table1_1[[#This Row],[Series Name]]&amp;"|"&amp;Table1_1[[#This Row],[Years]]</f>
        <v>Pakistan|Official exchange rate (LCU per US$, period average)|2014</v>
      </c>
    </row>
    <row r="87" spans="1:7" x14ac:dyDescent="0.3">
      <c r="A87" s="2" t="s">
        <v>39</v>
      </c>
      <c r="B87" s="2" t="s">
        <v>76</v>
      </c>
      <c r="C87" s="2" t="s">
        <v>83</v>
      </c>
      <c r="D87" s="2" t="s">
        <v>72</v>
      </c>
      <c r="E87" s="2" t="s">
        <v>157</v>
      </c>
      <c r="F87" s="2">
        <v>102.7692716046746</v>
      </c>
      <c r="G87" s="2" t="str">
        <f>Table1_1[[#This Row],[Country Name]]&amp;"|"&amp;Table1_1[[#This Row],[Series Name]]&amp;"|"&amp;Table1_1[[#This Row],[Years]]</f>
        <v>Pakistan|Official exchange rate (LCU per US$, period average)|2015</v>
      </c>
    </row>
    <row r="88" spans="1:7" x14ac:dyDescent="0.3">
      <c r="A88" s="2" t="s">
        <v>39</v>
      </c>
      <c r="B88" s="2" t="s">
        <v>76</v>
      </c>
      <c r="C88" s="2" t="s">
        <v>83</v>
      </c>
      <c r="D88" s="2" t="s">
        <v>72</v>
      </c>
      <c r="E88" s="2" t="s">
        <v>158</v>
      </c>
      <c r="F88" s="2">
        <v>104.769117033301</v>
      </c>
      <c r="G88" s="2" t="str">
        <f>Table1_1[[#This Row],[Country Name]]&amp;"|"&amp;Table1_1[[#This Row],[Series Name]]&amp;"|"&amp;Table1_1[[#This Row],[Years]]</f>
        <v>Pakistan|Official exchange rate (LCU per US$, period average)|2016</v>
      </c>
    </row>
    <row r="89" spans="1:7" x14ac:dyDescent="0.3">
      <c r="A89" s="2" t="s">
        <v>39</v>
      </c>
      <c r="B89" s="2" t="s">
        <v>76</v>
      </c>
      <c r="C89" s="2" t="s">
        <v>83</v>
      </c>
      <c r="D89" s="2" t="s">
        <v>72</v>
      </c>
      <c r="E89" s="2" t="s">
        <v>159</v>
      </c>
      <c r="F89" s="2">
        <v>105.45516208793759</v>
      </c>
      <c r="G89" s="2" t="str">
        <f>Table1_1[[#This Row],[Country Name]]&amp;"|"&amp;Table1_1[[#This Row],[Series Name]]&amp;"|"&amp;Table1_1[[#This Row],[Years]]</f>
        <v>Pakistan|Official exchange rate (LCU per US$, period average)|2017</v>
      </c>
    </row>
    <row r="90" spans="1:7" x14ac:dyDescent="0.3">
      <c r="A90" s="2" t="s">
        <v>39</v>
      </c>
      <c r="B90" s="2" t="s">
        <v>76</v>
      </c>
      <c r="C90" s="2" t="s">
        <v>83</v>
      </c>
      <c r="D90" s="2" t="s">
        <v>72</v>
      </c>
      <c r="E90" s="2" t="s">
        <v>160</v>
      </c>
      <c r="F90" s="2">
        <v>121.8240688757563</v>
      </c>
      <c r="G90" s="2" t="str">
        <f>Table1_1[[#This Row],[Country Name]]&amp;"|"&amp;Table1_1[[#This Row],[Series Name]]&amp;"|"&amp;Table1_1[[#This Row],[Years]]</f>
        <v>Pakistan|Official exchange rate (LCU per US$, period average)|2018</v>
      </c>
    </row>
    <row r="91" spans="1:7" x14ac:dyDescent="0.3">
      <c r="A91" s="2" t="s">
        <v>39</v>
      </c>
      <c r="B91" s="2" t="s">
        <v>76</v>
      </c>
      <c r="C91" s="2" t="s">
        <v>83</v>
      </c>
      <c r="D91" s="2" t="s">
        <v>72</v>
      </c>
      <c r="E91" s="2" t="s">
        <v>161</v>
      </c>
      <c r="F91" s="2">
        <v>150.03625383986429</v>
      </c>
      <c r="G91" s="2" t="str">
        <f>Table1_1[[#This Row],[Country Name]]&amp;"|"&amp;Table1_1[[#This Row],[Series Name]]&amp;"|"&amp;Table1_1[[#This Row],[Years]]</f>
        <v>Pakistan|Official exchange rate (LCU per US$, period average)|2019</v>
      </c>
    </row>
    <row r="92" spans="1:7" x14ac:dyDescent="0.3">
      <c r="A92" s="2" t="s">
        <v>39</v>
      </c>
      <c r="B92" s="2" t="s">
        <v>76</v>
      </c>
      <c r="C92" s="2" t="s">
        <v>83</v>
      </c>
      <c r="D92" s="2" t="s">
        <v>72</v>
      </c>
      <c r="E92" s="2" t="s">
        <v>162</v>
      </c>
      <c r="F92" s="2">
        <v>161.83847968471841</v>
      </c>
      <c r="G92" s="2" t="str">
        <f>Table1_1[[#This Row],[Country Name]]&amp;"|"&amp;Table1_1[[#This Row],[Series Name]]&amp;"|"&amp;Table1_1[[#This Row],[Years]]</f>
        <v>Pakistan|Official exchange rate (LCU per US$, period average)|2020</v>
      </c>
    </row>
    <row r="93" spans="1:7" x14ac:dyDescent="0.3">
      <c r="A93" s="2" t="s">
        <v>39</v>
      </c>
      <c r="B93" s="2" t="s">
        <v>76</v>
      </c>
      <c r="C93" s="2" t="s">
        <v>83</v>
      </c>
      <c r="D93" s="2" t="s">
        <v>72</v>
      </c>
      <c r="E93" s="2" t="s">
        <v>163</v>
      </c>
      <c r="F93" s="2">
        <v>162.90625374741819</v>
      </c>
      <c r="G93" s="2" t="str">
        <f>Table1_1[[#This Row],[Country Name]]&amp;"|"&amp;Table1_1[[#This Row],[Series Name]]&amp;"|"&amp;Table1_1[[#This Row],[Years]]</f>
        <v>Pakistan|Official exchange rate (LCU per US$, period average)|2021</v>
      </c>
    </row>
    <row r="94" spans="1:7" x14ac:dyDescent="0.3">
      <c r="A94" s="2" t="s">
        <v>39</v>
      </c>
      <c r="B94" s="2" t="s">
        <v>76</v>
      </c>
      <c r="C94" s="2" t="s">
        <v>83</v>
      </c>
      <c r="D94" s="2" t="s">
        <v>72</v>
      </c>
      <c r="E94" s="2" t="s">
        <v>164</v>
      </c>
      <c r="F94" s="2">
        <v>204.8671874699823</v>
      </c>
      <c r="G94" s="2" t="str">
        <f>Table1_1[[#This Row],[Country Name]]&amp;"|"&amp;Table1_1[[#This Row],[Series Name]]&amp;"|"&amp;Table1_1[[#This Row],[Years]]</f>
        <v>Pakistan|Official exchange rate (LCU per US$, period average)|2022</v>
      </c>
    </row>
    <row r="95" spans="1:7" x14ac:dyDescent="0.3">
      <c r="A95" s="2" t="s">
        <v>39</v>
      </c>
      <c r="B95" s="2" t="s">
        <v>76</v>
      </c>
      <c r="C95" s="2" t="s">
        <v>83</v>
      </c>
      <c r="D95" s="2" t="s">
        <v>72</v>
      </c>
      <c r="E95" s="2" t="s">
        <v>165</v>
      </c>
      <c r="F95" s="2">
        <v>280.35611165514899</v>
      </c>
      <c r="G95" s="2" t="str">
        <f>Table1_1[[#This Row],[Country Name]]&amp;"|"&amp;Table1_1[[#This Row],[Series Name]]&amp;"|"&amp;Table1_1[[#This Row],[Years]]</f>
        <v>Pakistan|Official exchange rate (LCU per US$, period average)|2023</v>
      </c>
    </row>
    <row r="96" spans="1:7" x14ac:dyDescent="0.3">
      <c r="A96" s="2" t="s">
        <v>39</v>
      </c>
      <c r="B96" s="2" t="s">
        <v>76</v>
      </c>
      <c r="C96" s="2" t="s">
        <v>83</v>
      </c>
      <c r="D96" s="2" t="s">
        <v>72</v>
      </c>
      <c r="E96" s="2" t="s">
        <v>166</v>
      </c>
      <c r="F96" s="2">
        <v>278.58071616756251</v>
      </c>
      <c r="G96" s="2" t="str">
        <f>Table1_1[[#This Row],[Country Name]]&amp;"|"&amp;Table1_1[[#This Row],[Series Name]]&amp;"|"&amp;Table1_1[[#This Row],[Years]]</f>
        <v>Pakistan|Official exchange rate (LCU per US$, period average)|2024</v>
      </c>
    </row>
    <row r="97" spans="1:7" x14ac:dyDescent="0.3">
      <c r="A97" s="2" t="s">
        <v>39</v>
      </c>
      <c r="B97" s="2" t="s">
        <v>76</v>
      </c>
      <c r="C97" s="2" t="s">
        <v>83</v>
      </c>
      <c r="D97" s="2" t="s">
        <v>72</v>
      </c>
      <c r="E97" s="2" t="s">
        <v>167</v>
      </c>
      <c r="F97" s="2">
        <v>281.14300117320221</v>
      </c>
      <c r="G97" s="2" t="str">
        <f>Table1_1[[#This Row],[Country Name]]&amp;"|"&amp;Table1_1[[#This Row],[Series Name]]&amp;"|"&amp;Table1_1[[#This Row],[Years]]</f>
        <v>Pakistan|Official exchange rate (LCU per US$, period average)|2025</v>
      </c>
    </row>
    <row r="98" spans="1:7" x14ac:dyDescent="0.3">
      <c r="A98" s="2" t="s">
        <v>39</v>
      </c>
      <c r="B98" s="2" t="s">
        <v>76</v>
      </c>
      <c r="C98" s="2" t="s">
        <v>70</v>
      </c>
      <c r="D98" s="2" t="s">
        <v>147</v>
      </c>
      <c r="E98" s="2" t="s">
        <v>152</v>
      </c>
      <c r="F98" s="2">
        <v>12.63722455929476</v>
      </c>
      <c r="G98" s="2" t="str">
        <f>Table1_1[[#This Row],[Country Name]]&amp;"|"&amp;Table1_1[[#This Row],[Series Name]]&amp;"|"&amp;Table1_1[[#This Row],[Years]]</f>
        <v>Pakistan|Exports of goods and services (% of GDP)|2010</v>
      </c>
    </row>
    <row r="99" spans="1:7" x14ac:dyDescent="0.3">
      <c r="A99" s="2" t="s">
        <v>39</v>
      </c>
      <c r="B99" s="2" t="s">
        <v>76</v>
      </c>
      <c r="C99" s="2" t="s">
        <v>70</v>
      </c>
      <c r="D99" s="2" t="s">
        <v>147</v>
      </c>
      <c r="E99" s="2" t="s">
        <v>153</v>
      </c>
      <c r="F99" s="2">
        <v>13.482554861721709</v>
      </c>
      <c r="G99" s="2" t="str">
        <f>Table1_1[[#This Row],[Country Name]]&amp;"|"&amp;Table1_1[[#This Row],[Series Name]]&amp;"|"&amp;Table1_1[[#This Row],[Years]]</f>
        <v>Pakistan|Exports of goods and services (% of GDP)|2011</v>
      </c>
    </row>
    <row r="100" spans="1:7" x14ac:dyDescent="0.3">
      <c r="A100" s="2" t="s">
        <v>39</v>
      </c>
      <c r="B100" s="2" t="s">
        <v>76</v>
      </c>
      <c r="C100" s="2" t="s">
        <v>70</v>
      </c>
      <c r="D100" s="2" t="s">
        <v>147</v>
      </c>
      <c r="E100" s="2" t="s">
        <v>154</v>
      </c>
      <c r="F100" s="2">
        <v>11.873964147323756</v>
      </c>
      <c r="G100" s="2" t="str">
        <f>Table1_1[[#This Row],[Country Name]]&amp;"|"&amp;Table1_1[[#This Row],[Series Name]]&amp;"|"&amp;Table1_1[[#This Row],[Years]]</f>
        <v>Pakistan|Exports of goods and services (% of GDP)|2012</v>
      </c>
    </row>
    <row r="101" spans="1:7" x14ac:dyDescent="0.3">
      <c r="A101" s="2" t="s">
        <v>39</v>
      </c>
      <c r="B101" s="2" t="s">
        <v>76</v>
      </c>
      <c r="C101" s="2" t="s">
        <v>70</v>
      </c>
      <c r="D101" s="2" t="s">
        <v>147</v>
      </c>
      <c r="E101" s="2" t="s">
        <v>155</v>
      </c>
      <c r="F101" s="2">
        <v>12.177499204069637</v>
      </c>
      <c r="G101" s="2" t="str">
        <f>Table1_1[[#This Row],[Country Name]]&amp;"|"&amp;Table1_1[[#This Row],[Series Name]]&amp;"|"&amp;Table1_1[[#This Row],[Years]]</f>
        <v>Pakistan|Exports of goods and services (% of GDP)|2013</v>
      </c>
    </row>
    <row r="102" spans="1:7" x14ac:dyDescent="0.3">
      <c r="A102" s="2" t="s">
        <v>39</v>
      </c>
      <c r="B102" s="2" t="s">
        <v>76</v>
      </c>
      <c r="C102" s="2" t="s">
        <v>70</v>
      </c>
      <c r="D102" s="2" t="s">
        <v>147</v>
      </c>
      <c r="E102" s="2" t="s">
        <v>156</v>
      </c>
      <c r="F102" s="2">
        <v>11.194971742614598</v>
      </c>
      <c r="G102" s="2" t="str">
        <f>Table1_1[[#This Row],[Country Name]]&amp;"|"&amp;Table1_1[[#This Row],[Series Name]]&amp;"|"&amp;Table1_1[[#This Row],[Years]]</f>
        <v>Pakistan|Exports of goods and services (% of GDP)|2014</v>
      </c>
    </row>
    <row r="103" spans="1:7" x14ac:dyDescent="0.3">
      <c r="A103" s="2" t="s">
        <v>39</v>
      </c>
      <c r="B103" s="2" t="s">
        <v>76</v>
      </c>
      <c r="C103" s="2" t="s">
        <v>70</v>
      </c>
      <c r="D103" s="2" t="s">
        <v>147</v>
      </c>
      <c r="E103" s="2" t="s">
        <v>157</v>
      </c>
      <c r="F103" s="2">
        <v>9.9745709512403575</v>
      </c>
      <c r="G103" s="2" t="str">
        <f>Table1_1[[#This Row],[Country Name]]&amp;"|"&amp;Table1_1[[#This Row],[Series Name]]&amp;"|"&amp;Table1_1[[#This Row],[Years]]</f>
        <v>Pakistan|Exports of goods and services (% of GDP)|2015</v>
      </c>
    </row>
    <row r="104" spans="1:7" x14ac:dyDescent="0.3">
      <c r="A104" s="2" t="s">
        <v>39</v>
      </c>
      <c r="B104" s="2" t="s">
        <v>76</v>
      </c>
      <c r="C104" s="2" t="s">
        <v>70</v>
      </c>
      <c r="D104" s="2" t="s">
        <v>147</v>
      </c>
      <c r="E104" s="2" t="s">
        <v>158</v>
      </c>
      <c r="F104" s="2">
        <v>8.7367163911656789</v>
      </c>
      <c r="G104" s="2" t="str">
        <f>Table1_1[[#This Row],[Country Name]]&amp;"|"&amp;Table1_1[[#This Row],[Series Name]]&amp;"|"&amp;Table1_1[[#This Row],[Years]]</f>
        <v>Pakistan|Exports of goods and services (% of GDP)|2016</v>
      </c>
    </row>
    <row r="105" spans="1:7" x14ac:dyDescent="0.3">
      <c r="A105" s="2" t="s">
        <v>39</v>
      </c>
      <c r="B105" s="2" t="s">
        <v>76</v>
      </c>
      <c r="C105" s="2" t="s">
        <v>70</v>
      </c>
      <c r="D105" s="2" t="s">
        <v>147</v>
      </c>
      <c r="E105" s="2" t="s">
        <v>159</v>
      </c>
      <c r="F105" s="2">
        <v>8.221611343955594</v>
      </c>
      <c r="G105" s="2" t="str">
        <f>Table1_1[[#This Row],[Country Name]]&amp;"|"&amp;Table1_1[[#This Row],[Series Name]]&amp;"|"&amp;Table1_1[[#This Row],[Years]]</f>
        <v>Pakistan|Exports of goods and services (% of GDP)|2017</v>
      </c>
    </row>
    <row r="106" spans="1:7" x14ac:dyDescent="0.3">
      <c r="A106" s="2" t="s">
        <v>39</v>
      </c>
      <c r="B106" s="2" t="s">
        <v>76</v>
      </c>
      <c r="C106" s="2" t="s">
        <v>70</v>
      </c>
      <c r="D106" s="2" t="s">
        <v>147</v>
      </c>
      <c r="E106" s="2" t="s">
        <v>160</v>
      </c>
      <c r="F106" s="2">
        <v>8.5817996055607324</v>
      </c>
      <c r="G106" s="2" t="str">
        <f>Table1_1[[#This Row],[Country Name]]&amp;"|"&amp;Table1_1[[#This Row],[Series Name]]&amp;"|"&amp;Table1_1[[#This Row],[Years]]</f>
        <v>Pakistan|Exports of goods and services (% of GDP)|2018</v>
      </c>
    </row>
    <row r="107" spans="1:7" x14ac:dyDescent="0.3">
      <c r="A107" s="2" t="s">
        <v>39</v>
      </c>
      <c r="B107" s="2" t="s">
        <v>76</v>
      </c>
      <c r="C107" s="2" t="s">
        <v>70</v>
      </c>
      <c r="D107" s="2" t="s">
        <v>147</v>
      </c>
      <c r="E107" s="2" t="s">
        <v>161</v>
      </c>
      <c r="F107" s="2">
        <v>9.3908635386026997</v>
      </c>
      <c r="G107" s="2" t="str">
        <f>Table1_1[[#This Row],[Country Name]]&amp;"|"&amp;Table1_1[[#This Row],[Series Name]]&amp;"|"&amp;Table1_1[[#This Row],[Years]]</f>
        <v>Pakistan|Exports of goods and services (% of GDP)|2019</v>
      </c>
    </row>
    <row r="108" spans="1:7" x14ac:dyDescent="0.3">
      <c r="A108" s="2" t="s">
        <v>39</v>
      </c>
      <c r="B108" s="2" t="s">
        <v>76</v>
      </c>
      <c r="C108" s="2" t="s">
        <v>70</v>
      </c>
      <c r="D108" s="2" t="s">
        <v>147</v>
      </c>
      <c r="E108" s="2" t="s">
        <v>162</v>
      </c>
      <c r="F108" s="2">
        <v>9.298559442347246</v>
      </c>
      <c r="G108" s="2" t="str">
        <f>Table1_1[[#This Row],[Country Name]]&amp;"|"&amp;Table1_1[[#This Row],[Series Name]]&amp;"|"&amp;Table1_1[[#This Row],[Years]]</f>
        <v>Pakistan|Exports of goods and services (% of GDP)|2020</v>
      </c>
    </row>
    <row r="109" spans="1:7" x14ac:dyDescent="0.3">
      <c r="A109" s="2" t="s">
        <v>39</v>
      </c>
      <c r="B109" s="2" t="s">
        <v>76</v>
      </c>
      <c r="C109" s="2" t="s">
        <v>70</v>
      </c>
      <c r="D109" s="2" t="s">
        <v>147</v>
      </c>
      <c r="E109" s="2" t="s">
        <v>163</v>
      </c>
      <c r="F109" s="2">
        <v>9.0515998887818796</v>
      </c>
      <c r="G109" s="2" t="str">
        <f>Table1_1[[#This Row],[Country Name]]&amp;"|"&amp;Table1_1[[#This Row],[Series Name]]&amp;"|"&amp;Table1_1[[#This Row],[Years]]</f>
        <v>Pakistan|Exports of goods and services (% of GDP)|2021</v>
      </c>
    </row>
    <row r="110" spans="1:7" x14ac:dyDescent="0.3">
      <c r="A110" s="2" t="s">
        <v>39</v>
      </c>
      <c r="B110" s="2" t="s">
        <v>76</v>
      </c>
      <c r="C110" s="2" t="s">
        <v>70</v>
      </c>
      <c r="D110" s="2" t="s">
        <v>147</v>
      </c>
      <c r="E110" s="2" t="s">
        <v>164</v>
      </c>
      <c r="F110" s="2">
        <v>10.540590272104113</v>
      </c>
      <c r="G110" s="2" t="str">
        <f>Table1_1[[#This Row],[Country Name]]&amp;"|"&amp;Table1_1[[#This Row],[Series Name]]&amp;"|"&amp;Table1_1[[#This Row],[Years]]</f>
        <v>Pakistan|Exports of goods and services (% of GDP)|2022</v>
      </c>
    </row>
    <row r="111" spans="1:7" x14ac:dyDescent="0.3">
      <c r="A111" s="2" t="s">
        <v>39</v>
      </c>
      <c r="B111" s="2" t="s">
        <v>76</v>
      </c>
      <c r="C111" s="2" t="s">
        <v>70</v>
      </c>
      <c r="D111" s="2" t="s">
        <v>147</v>
      </c>
      <c r="E111" s="2" t="s">
        <v>165</v>
      </c>
      <c r="F111" s="2">
        <v>10.493958751156445</v>
      </c>
      <c r="G111" s="2" t="str">
        <f>Table1_1[[#This Row],[Country Name]]&amp;"|"&amp;Table1_1[[#This Row],[Series Name]]&amp;"|"&amp;Table1_1[[#This Row],[Years]]</f>
        <v>Pakistan|Exports of goods and services (% of GDP)|2023</v>
      </c>
    </row>
    <row r="112" spans="1:7" x14ac:dyDescent="0.3">
      <c r="A112" s="2" t="s">
        <v>39</v>
      </c>
      <c r="B112" s="2" t="s">
        <v>76</v>
      </c>
      <c r="C112" s="2" t="s">
        <v>70</v>
      </c>
      <c r="D112" s="2" t="s">
        <v>147</v>
      </c>
      <c r="E112" s="2" t="s">
        <v>166</v>
      </c>
      <c r="F112" s="2">
        <v>10.385503133101166</v>
      </c>
      <c r="G112" s="2" t="str">
        <f>Table1_1[[#This Row],[Country Name]]&amp;"|"&amp;Table1_1[[#This Row],[Series Name]]&amp;"|"&amp;Table1_1[[#This Row],[Years]]</f>
        <v>Pakistan|Exports of goods and services (% of GDP)|2024</v>
      </c>
    </row>
    <row r="113" spans="1:7" x14ac:dyDescent="0.3">
      <c r="A113" s="2" t="s">
        <v>39</v>
      </c>
      <c r="B113" s="2" t="s">
        <v>76</v>
      </c>
      <c r="C113" s="2" t="s">
        <v>70</v>
      </c>
      <c r="D113" s="2" t="s">
        <v>147</v>
      </c>
      <c r="E113" s="2" t="s">
        <v>167</v>
      </c>
      <c r="F113" s="2">
        <v>9.985206710421652</v>
      </c>
      <c r="G113" s="2" t="str">
        <f>Table1_1[[#This Row],[Country Name]]&amp;"|"&amp;Table1_1[[#This Row],[Series Name]]&amp;"|"&amp;Table1_1[[#This Row],[Years]]</f>
        <v>Pakistan|Exports of goods and services (% of GDP)|2025</v>
      </c>
    </row>
    <row r="114" spans="1:7" x14ac:dyDescent="0.3">
      <c r="A114" s="2" t="s">
        <v>39</v>
      </c>
      <c r="B114" s="2" t="s">
        <v>76</v>
      </c>
      <c r="C114" s="2" t="s">
        <v>56</v>
      </c>
      <c r="D114" s="2" t="s">
        <v>14</v>
      </c>
      <c r="E114" s="2" t="s">
        <v>152</v>
      </c>
      <c r="F114" s="2">
        <v>19.351777486936786</v>
      </c>
      <c r="G114" s="2" t="str">
        <f>Table1_1[[#This Row],[Country Name]]&amp;"|"&amp;Table1_1[[#This Row],[Series Name]]&amp;"|"&amp;Table1_1[[#This Row],[Years]]</f>
        <v>Pakistan|Imports of goods and services (% of GDP)|2010</v>
      </c>
    </row>
    <row r="115" spans="1:7" x14ac:dyDescent="0.3">
      <c r="A115" s="2" t="s">
        <v>39</v>
      </c>
      <c r="B115" s="2" t="s">
        <v>76</v>
      </c>
      <c r="C115" s="2" t="s">
        <v>56</v>
      </c>
      <c r="D115" s="2" t="s">
        <v>14</v>
      </c>
      <c r="E115" s="2" t="s">
        <v>153</v>
      </c>
      <c r="F115" s="2">
        <v>18.880083413422092</v>
      </c>
      <c r="G115" s="2" t="str">
        <f>Table1_1[[#This Row],[Country Name]]&amp;"|"&amp;Table1_1[[#This Row],[Series Name]]&amp;"|"&amp;Table1_1[[#This Row],[Years]]</f>
        <v>Pakistan|Imports of goods and services (% of GDP)|2011</v>
      </c>
    </row>
    <row r="116" spans="1:7" x14ac:dyDescent="0.3">
      <c r="A116" s="2" t="s">
        <v>39</v>
      </c>
      <c r="B116" s="2" t="s">
        <v>76</v>
      </c>
      <c r="C116" s="2" t="s">
        <v>56</v>
      </c>
      <c r="D116" s="2" t="s">
        <v>14</v>
      </c>
      <c r="E116" s="2" t="s">
        <v>154</v>
      </c>
      <c r="F116" s="2">
        <v>19.445009128683832</v>
      </c>
      <c r="G116" s="2" t="str">
        <f>Table1_1[[#This Row],[Country Name]]&amp;"|"&amp;Table1_1[[#This Row],[Series Name]]&amp;"|"&amp;Table1_1[[#This Row],[Years]]</f>
        <v>Pakistan|Imports of goods and services (% of GDP)|2012</v>
      </c>
    </row>
    <row r="117" spans="1:7" x14ac:dyDescent="0.3">
      <c r="A117" s="2" t="s">
        <v>39</v>
      </c>
      <c r="B117" s="2" t="s">
        <v>76</v>
      </c>
      <c r="C117" s="2" t="s">
        <v>56</v>
      </c>
      <c r="D117" s="2" t="s">
        <v>14</v>
      </c>
      <c r="E117" s="2" t="s">
        <v>155</v>
      </c>
      <c r="F117" s="2">
        <v>18.712775136114747</v>
      </c>
      <c r="G117" s="2" t="str">
        <f>Table1_1[[#This Row],[Country Name]]&amp;"|"&amp;Table1_1[[#This Row],[Series Name]]&amp;"|"&amp;Table1_1[[#This Row],[Years]]</f>
        <v>Pakistan|Imports of goods and services (% of GDP)|2013</v>
      </c>
    </row>
    <row r="118" spans="1:7" x14ac:dyDescent="0.3">
      <c r="A118" s="2" t="s">
        <v>39</v>
      </c>
      <c r="B118" s="2" t="s">
        <v>76</v>
      </c>
      <c r="C118" s="2" t="s">
        <v>56</v>
      </c>
      <c r="D118" s="2" t="s">
        <v>14</v>
      </c>
      <c r="E118" s="2" t="s">
        <v>156</v>
      </c>
      <c r="F118" s="2">
        <v>18.274853947785189</v>
      </c>
      <c r="G118" s="2" t="str">
        <f>Table1_1[[#This Row],[Country Name]]&amp;"|"&amp;Table1_1[[#This Row],[Series Name]]&amp;"|"&amp;Table1_1[[#This Row],[Years]]</f>
        <v>Pakistan|Imports of goods and services (% of GDP)|2014</v>
      </c>
    </row>
    <row r="119" spans="1:7" x14ac:dyDescent="0.3">
      <c r="A119" s="2" t="s">
        <v>39</v>
      </c>
      <c r="B119" s="2" t="s">
        <v>76</v>
      </c>
      <c r="C119" s="2" t="s">
        <v>56</v>
      </c>
      <c r="D119" s="2" t="s">
        <v>14</v>
      </c>
      <c r="E119" s="2" t="s">
        <v>157</v>
      </c>
      <c r="F119" s="2">
        <v>16.713615065984317</v>
      </c>
      <c r="G119" s="2" t="str">
        <f>Table1_1[[#This Row],[Country Name]]&amp;"|"&amp;Table1_1[[#This Row],[Series Name]]&amp;"|"&amp;Table1_1[[#This Row],[Years]]</f>
        <v>Pakistan|Imports of goods and services (% of GDP)|2015</v>
      </c>
    </row>
    <row r="120" spans="1:7" x14ac:dyDescent="0.3">
      <c r="A120" s="2" t="s">
        <v>39</v>
      </c>
      <c r="B120" s="2" t="s">
        <v>76</v>
      </c>
      <c r="C120" s="2" t="s">
        <v>56</v>
      </c>
      <c r="D120" s="2" t="s">
        <v>14</v>
      </c>
      <c r="E120" s="2" t="s">
        <v>158</v>
      </c>
      <c r="F120" s="2">
        <v>15.964861656891639</v>
      </c>
      <c r="G120" s="2" t="str">
        <f>Table1_1[[#This Row],[Country Name]]&amp;"|"&amp;Table1_1[[#This Row],[Series Name]]&amp;"|"&amp;Table1_1[[#This Row],[Years]]</f>
        <v>Pakistan|Imports of goods and services (% of GDP)|2016</v>
      </c>
    </row>
    <row r="121" spans="1:7" x14ac:dyDescent="0.3">
      <c r="A121" s="2" t="s">
        <v>39</v>
      </c>
      <c r="B121" s="2" t="s">
        <v>76</v>
      </c>
      <c r="C121" s="2" t="s">
        <v>56</v>
      </c>
      <c r="D121" s="2" t="s">
        <v>14</v>
      </c>
      <c r="E121" s="2" t="s">
        <v>159</v>
      </c>
      <c r="F121" s="2">
        <v>17.250423658388385</v>
      </c>
      <c r="G121" s="2" t="str">
        <f>Table1_1[[#This Row],[Country Name]]&amp;"|"&amp;Table1_1[[#This Row],[Series Name]]&amp;"|"&amp;Table1_1[[#This Row],[Years]]</f>
        <v>Pakistan|Imports of goods and services (% of GDP)|2017</v>
      </c>
    </row>
    <row r="122" spans="1:7" x14ac:dyDescent="0.3">
      <c r="A122" s="2" t="s">
        <v>39</v>
      </c>
      <c r="B122" s="2" t="s">
        <v>76</v>
      </c>
      <c r="C122" s="2" t="s">
        <v>56</v>
      </c>
      <c r="D122" s="2" t="s">
        <v>14</v>
      </c>
      <c r="E122" s="2" t="s">
        <v>160</v>
      </c>
      <c r="F122" s="2">
        <v>19.044257474072978</v>
      </c>
      <c r="G122" s="2" t="str">
        <f>Table1_1[[#This Row],[Country Name]]&amp;"|"&amp;Table1_1[[#This Row],[Series Name]]&amp;"|"&amp;Table1_1[[#This Row],[Years]]</f>
        <v>Pakistan|Imports of goods and services (% of GDP)|2018</v>
      </c>
    </row>
    <row r="123" spans="1:7" x14ac:dyDescent="0.3">
      <c r="A123" s="2" t="s">
        <v>39</v>
      </c>
      <c r="B123" s="2" t="s">
        <v>76</v>
      </c>
      <c r="C123" s="2" t="s">
        <v>56</v>
      </c>
      <c r="D123" s="2" t="s">
        <v>14</v>
      </c>
      <c r="E123" s="2" t="s">
        <v>161</v>
      </c>
      <c r="F123" s="2">
        <v>19.514713448100533</v>
      </c>
      <c r="G123" s="2" t="str">
        <f>Table1_1[[#This Row],[Country Name]]&amp;"|"&amp;Table1_1[[#This Row],[Series Name]]&amp;"|"&amp;Table1_1[[#This Row],[Years]]</f>
        <v>Pakistan|Imports of goods and services (% of GDP)|2019</v>
      </c>
    </row>
    <row r="124" spans="1:7" x14ac:dyDescent="0.3">
      <c r="A124" s="2" t="s">
        <v>39</v>
      </c>
      <c r="B124" s="2" t="s">
        <v>76</v>
      </c>
      <c r="C124" s="2" t="s">
        <v>56</v>
      </c>
      <c r="D124" s="2" t="s">
        <v>14</v>
      </c>
      <c r="E124" s="2" t="s">
        <v>162</v>
      </c>
      <c r="F124" s="2">
        <v>17.417721290534121</v>
      </c>
      <c r="G124" s="2" t="str">
        <f>Table1_1[[#This Row],[Country Name]]&amp;"|"&amp;Table1_1[[#This Row],[Series Name]]&amp;"|"&amp;Table1_1[[#This Row],[Years]]</f>
        <v>Pakistan|Imports of goods and services (% of GDP)|2020</v>
      </c>
    </row>
    <row r="125" spans="1:7" x14ac:dyDescent="0.3">
      <c r="A125" s="2" t="s">
        <v>39</v>
      </c>
      <c r="B125" s="2" t="s">
        <v>76</v>
      </c>
      <c r="C125" s="2" t="s">
        <v>56</v>
      </c>
      <c r="D125" s="2" t="s">
        <v>14</v>
      </c>
      <c r="E125" s="2" t="s">
        <v>163</v>
      </c>
      <c r="F125" s="2">
        <v>17.978820523772875</v>
      </c>
      <c r="G125" s="2" t="str">
        <f>Table1_1[[#This Row],[Country Name]]&amp;"|"&amp;Table1_1[[#This Row],[Series Name]]&amp;"|"&amp;Table1_1[[#This Row],[Years]]</f>
        <v>Pakistan|Imports of goods and services (% of GDP)|2021</v>
      </c>
    </row>
    <row r="126" spans="1:7" x14ac:dyDescent="0.3">
      <c r="A126" s="2" t="s">
        <v>39</v>
      </c>
      <c r="B126" s="2" t="s">
        <v>76</v>
      </c>
      <c r="C126" s="2" t="s">
        <v>56</v>
      </c>
      <c r="D126" s="2" t="s">
        <v>14</v>
      </c>
      <c r="E126" s="2" t="s">
        <v>164</v>
      </c>
      <c r="F126" s="2">
        <v>22.490763205927919</v>
      </c>
      <c r="G126" s="2" t="str">
        <f>Table1_1[[#This Row],[Country Name]]&amp;"|"&amp;Table1_1[[#This Row],[Series Name]]&amp;"|"&amp;Table1_1[[#This Row],[Years]]</f>
        <v>Pakistan|Imports of goods and services (% of GDP)|2022</v>
      </c>
    </row>
    <row r="127" spans="1:7" x14ac:dyDescent="0.3">
      <c r="A127" s="2" t="s">
        <v>39</v>
      </c>
      <c r="B127" s="2" t="s">
        <v>76</v>
      </c>
      <c r="C127" s="2" t="s">
        <v>56</v>
      </c>
      <c r="D127" s="2" t="s">
        <v>14</v>
      </c>
      <c r="E127" s="2" t="s">
        <v>165</v>
      </c>
      <c r="F127" s="2">
        <v>17.973733795827251</v>
      </c>
      <c r="G127" s="2" t="str">
        <f>Table1_1[[#This Row],[Country Name]]&amp;"|"&amp;Table1_1[[#This Row],[Series Name]]&amp;"|"&amp;Table1_1[[#This Row],[Years]]</f>
        <v>Pakistan|Imports of goods and services (% of GDP)|2023</v>
      </c>
    </row>
    <row r="128" spans="1:7" x14ac:dyDescent="0.3">
      <c r="A128" s="2" t="s">
        <v>39</v>
      </c>
      <c r="B128" s="2" t="s">
        <v>76</v>
      </c>
      <c r="C128" s="2" t="s">
        <v>56</v>
      </c>
      <c r="D128" s="2" t="s">
        <v>14</v>
      </c>
      <c r="E128" s="2" t="s">
        <v>166</v>
      </c>
      <c r="F128" s="2">
        <v>17.179827777478305</v>
      </c>
      <c r="G128" s="2" t="str">
        <f>Table1_1[[#This Row],[Country Name]]&amp;"|"&amp;Table1_1[[#This Row],[Series Name]]&amp;"|"&amp;Table1_1[[#This Row],[Years]]</f>
        <v>Pakistan|Imports of goods and services (% of GDP)|2024</v>
      </c>
    </row>
    <row r="129" spans="1:7" x14ac:dyDescent="0.3">
      <c r="A129" s="2" t="s">
        <v>39</v>
      </c>
      <c r="B129" s="2" t="s">
        <v>76</v>
      </c>
      <c r="C129" s="2" t="s">
        <v>56</v>
      </c>
      <c r="D129" s="2" t="s">
        <v>14</v>
      </c>
      <c r="E129" s="2" t="s">
        <v>167</v>
      </c>
      <c r="F129" s="2">
        <v>17.208330668344761</v>
      </c>
      <c r="G129" s="2" t="str">
        <f>Table1_1[[#This Row],[Country Name]]&amp;"|"&amp;Table1_1[[#This Row],[Series Name]]&amp;"|"&amp;Table1_1[[#This Row],[Years]]</f>
        <v>Pakistan|Imports of goods and services (% of GDP)|2025</v>
      </c>
    </row>
    <row r="130" spans="1:7" x14ac:dyDescent="0.3">
      <c r="A130" s="2" t="s">
        <v>39</v>
      </c>
      <c r="B130" s="2" t="s">
        <v>76</v>
      </c>
      <c r="C130" s="2" t="s">
        <v>13</v>
      </c>
      <c r="D130" s="2" t="s">
        <v>123</v>
      </c>
      <c r="E130" s="2" t="s">
        <v>152</v>
      </c>
      <c r="F130" s="2">
        <v>2022000000</v>
      </c>
      <c r="G130" s="2" t="str">
        <f>Table1_1[[#This Row],[Country Name]]&amp;"|"&amp;Table1_1[[#This Row],[Series Name]]&amp;"|"&amp;Table1_1[[#This Row],[Years]]</f>
        <v>Pakistan|Foreign direct investment, net inflows (BoP, current US$)|2010</v>
      </c>
    </row>
    <row r="131" spans="1:7" x14ac:dyDescent="0.3">
      <c r="A131" s="2" t="s">
        <v>39</v>
      </c>
      <c r="B131" s="2" t="s">
        <v>76</v>
      </c>
      <c r="C131" s="2" t="s">
        <v>13</v>
      </c>
      <c r="D131" s="2" t="s">
        <v>123</v>
      </c>
      <c r="E131" s="2" t="s">
        <v>153</v>
      </c>
      <c r="F131" s="2">
        <v>1326000000</v>
      </c>
      <c r="G131" s="2" t="str">
        <f>Table1_1[[#This Row],[Country Name]]&amp;"|"&amp;Table1_1[[#This Row],[Series Name]]&amp;"|"&amp;Table1_1[[#This Row],[Years]]</f>
        <v>Pakistan|Foreign direct investment, net inflows (BoP, current US$)|2011</v>
      </c>
    </row>
    <row r="132" spans="1:7" x14ac:dyDescent="0.3">
      <c r="A132" s="2" t="s">
        <v>39</v>
      </c>
      <c r="B132" s="2" t="s">
        <v>76</v>
      </c>
      <c r="C132" s="2" t="s">
        <v>13</v>
      </c>
      <c r="D132" s="2" t="s">
        <v>123</v>
      </c>
      <c r="E132" s="2" t="s">
        <v>154</v>
      </c>
      <c r="F132" s="2">
        <v>859000000</v>
      </c>
      <c r="G132" s="2" t="str">
        <f>Table1_1[[#This Row],[Country Name]]&amp;"|"&amp;Table1_1[[#This Row],[Series Name]]&amp;"|"&amp;Table1_1[[#This Row],[Years]]</f>
        <v>Pakistan|Foreign direct investment, net inflows (BoP, current US$)|2012</v>
      </c>
    </row>
    <row r="133" spans="1:7" x14ac:dyDescent="0.3">
      <c r="A133" s="2" t="s">
        <v>39</v>
      </c>
      <c r="B133" s="2" t="s">
        <v>76</v>
      </c>
      <c r="C133" s="2" t="s">
        <v>13</v>
      </c>
      <c r="D133" s="2" t="s">
        <v>123</v>
      </c>
      <c r="E133" s="2" t="s">
        <v>155</v>
      </c>
      <c r="F133" s="2">
        <v>1333000000</v>
      </c>
      <c r="G133" s="2" t="str">
        <f>Table1_1[[#This Row],[Country Name]]&amp;"|"&amp;Table1_1[[#This Row],[Series Name]]&amp;"|"&amp;Table1_1[[#This Row],[Years]]</f>
        <v>Pakistan|Foreign direct investment, net inflows (BoP, current US$)|2013</v>
      </c>
    </row>
    <row r="134" spans="1:7" x14ac:dyDescent="0.3">
      <c r="A134" s="2" t="s">
        <v>39</v>
      </c>
      <c r="B134" s="2" t="s">
        <v>76</v>
      </c>
      <c r="C134" s="2" t="s">
        <v>13</v>
      </c>
      <c r="D134" s="2" t="s">
        <v>123</v>
      </c>
      <c r="E134" s="2" t="s">
        <v>156</v>
      </c>
      <c r="F134" s="2">
        <v>1887000000</v>
      </c>
      <c r="G134" s="2" t="str">
        <f>Table1_1[[#This Row],[Country Name]]&amp;"|"&amp;Table1_1[[#This Row],[Series Name]]&amp;"|"&amp;Table1_1[[#This Row],[Years]]</f>
        <v>Pakistan|Foreign direct investment, net inflows (BoP, current US$)|2014</v>
      </c>
    </row>
    <row r="135" spans="1:7" x14ac:dyDescent="0.3">
      <c r="A135" s="2" t="s">
        <v>39</v>
      </c>
      <c r="B135" s="2" t="s">
        <v>76</v>
      </c>
      <c r="C135" s="2" t="s">
        <v>13</v>
      </c>
      <c r="D135" s="2" t="s">
        <v>123</v>
      </c>
      <c r="E135" s="2" t="s">
        <v>157</v>
      </c>
      <c r="F135" s="2">
        <v>1673000000</v>
      </c>
      <c r="G135" s="2" t="str">
        <f>Table1_1[[#This Row],[Country Name]]&amp;"|"&amp;Table1_1[[#This Row],[Series Name]]&amp;"|"&amp;Table1_1[[#This Row],[Years]]</f>
        <v>Pakistan|Foreign direct investment, net inflows (BoP, current US$)|2015</v>
      </c>
    </row>
    <row r="136" spans="1:7" x14ac:dyDescent="0.3">
      <c r="A136" s="2" t="s">
        <v>39</v>
      </c>
      <c r="B136" s="2" t="s">
        <v>76</v>
      </c>
      <c r="C136" s="2" t="s">
        <v>13</v>
      </c>
      <c r="D136" s="2" t="s">
        <v>123</v>
      </c>
      <c r="E136" s="2" t="s">
        <v>158</v>
      </c>
      <c r="F136" s="2">
        <v>2576000000</v>
      </c>
      <c r="G136" s="2" t="str">
        <f>Table1_1[[#This Row],[Country Name]]&amp;"|"&amp;Table1_1[[#This Row],[Series Name]]&amp;"|"&amp;Table1_1[[#This Row],[Years]]</f>
        <v>Pakistan|Foreign direct investment, net inflows (BoP, current US$)|2016</v>
      </c>
    </row>
    <row r="137" spans="1:7" x14ac:dyDescent="0.3">
      <c r="A137" s="2" t="s">
        <v>39</v>
      </c>
      <c r="B137" s="2" t="s">
        <v>76</v>
      </c>
      <c r="C137" s="2" t="s">
        <v>13</v>
      </c>
      <c r="D137" s="2" t="s">
        <v>123</v>
      </c>
      <c r="E137" s="2" t="s">
        <v>159</v>
      </c>
      <c r="F137" s="2">
        <v>2496000000</v>
      </c>
      <c r="G137" s="2" t="str">
        <f>Table1_1[[#This Row],[Country Name]]&amp;"|"&amp;Table1_1[[#This Row],[Series Name]]&amp;"|"&amp;Table1_1[[#This Row],[Years]]</f>
        <v>Pakistan|Foreign direct investment, net inflows (BoP, current US$)|2017</v>
      </c>
    </row>
    <row r="138" spans="1:7" x14ac:dyDescent="0.3">
      <c r="A138" s="2" t="s">
        <v>39</v>
      </c>
      <c r="B138" s="2" t="s">
        <v>76</v>
      </c>
      <c r="C138" s="2" t="s">
        <v>13</v>
      </c>
      <c r="D138" s="2" t="s">
        <v>123</v>
      </c>
      <c r="E138" s="2" t="s">
        <v>160</v>
      </c>
      <c r="F138" s="2">
        <v>1737000000</v>
      </c>
      <c r="G138" s="2" t="str">
        <f>Table1_1[[#This Row],[Country Name]]&amp;"|"&amp;Table1_1[[#This Row],[Series Name]]&amp;"|"&amp;Table1_1[[#This Row],[Years]]</f>
        <v>Pakistan|Foreign direct investment, net inflows (BoP, current US$)|2018</v>
      </c>
    </row>
    <row r="139" spans="1:7" x14ac:dyDescent="0.3">
      <c r="A139" s="2" t="s">
        <v>39</v>
      </c>
      <c r="B139" s="2" t="s">
        <v>76</v>
      </c>
      <c r="C139" s="2" t="s">
        <v>13</v>
      </c>
      <c r="D139" s="2" t="s">
        <v>123</v>
      </c>
      <c r="E139" s="2" t="s">
        <v>161</v>
      </c>
      <c r="F139" s="2">
        <v>2234000000</v>
      </c>
      <c r="G139" s="2" t="str">
        <f>Table1_1[[#This Row],[Country Name]]&amp;"|"&amp;Table1_1[[#This Row],[Series Name]]&amp;"|"&amp;Table1_1[[#This Row],[Years]]</f>
        <v>Pakistan|Foreign direct investment, net inflows (BoP, current US$)|2019</v>
      </c>
    </row>
    <row r="140" spans="1:7" x14ac:dyDescent="0.3">
      <c r="A140" s="2" t="s">
        <v>39</v>
      </c>
      <c r="B140" s="2" t="s">
        <v>76</v>
      </c>
      <c r="C140" s="2" t="s">
        <v>13</v>
      </c>
      <c r="D140" s="2" t="s">
        <v>123</v>
      </c>
      <c r="E140" s="2" t="s">
        <v>162</v>
      </c>
      <c r="F140" s="2">
        <v>2057000000</v>
      </c>
      <c r="G140" s="2" t="str">
        <f>Table1_1[[#This Row],[Country Name]]&amp;"|"&amp;Table1_1[[#This Row],[Series Name]]&amp;"|"&amp;Table1_1[[#This Row],[Years]]</f>
        <v>Pakistan|Foreign direct investment, net inflows (BoP, current US$)|2020</v>
      </c>
    </row>
    <row r="141" spans="1:7" x14ac:dyDescent="0.3">
      <c r="A141" s="2" t="s">
        <v>39</v>
      </c>
      <c r="B141" s="2" t="s">
        <v>76</v>
      </c>
      <c r="C141" s="2" t="s">
        <v>13</v>
      </c>
      <c r="D141" s="2" t="s">
        <v>123</v>
      </c>
      <c r="E141" s="2" t="s">
        <v>163</v>
      </c>
      <c r="F141" s="2">
        <v>2147000000</v>
      </c>
      <c r="G141" s="2" t="str">
        <f>Table1_1[[#This Row],[Country Name]]&amp;"|"&amp;Table1_1[[#This Row],[Series Name]]&amp;"|"&amp;Table1_1[[#This Row],[Years]]</f>
        <v>Pakistan|Foreign direct investment, net inflows (BoP, current US$)|2021</v>
      </c>
    </row>
    <row r="142" spans="1:7" x14ac:dyDescent="0.3">
      <c r="A142" s="2" t="s">
        <v>39</v>
      </c>
      <c r="B142" s="2" t="s">
        <v>76</v>
      </c>
      <c r="C142" s="2" t="s">
        <v>13</v>
      </c>
      <c r="D142" s="2" t="s">
        <v>123</v>
      </c>
      <c r="E142" s="2" t="s">
        <v>164</v>
      </c>
      <c r="F142" s="2">
        <v>1462000000</v>
      </c>
      <c r="G142" s="2" t="str">
        <f>Table1_1[[#This Row],[Country Name]]&amp;"|"&amp;Table1_1[[#This Row],[Series Name]]&amp;"|"&amp;Table1_1[[#This Row],[Years]]</f>
        <v>Pakistan|Foreign direct investment, net inflows (BoP, current US$)|2022</v>
      </c>
    </row>
    <row r="143" spans="1:7" x14ac:dyDescent="0.3">
      <c r="A143" s="2" t="s">
        <v>39</v>
      </c>
      <c r="B143" s="2" t="s">
        <v>76</v>
      </c>
      <c r="C143" s="2" t="s">
        <v>13</v>
      </c>
      <c r="D143" s="2" t="s">
        <v>123</v>
      </c>
      <c r="E143" s="2" t="s">
        <v>165</v>
      </c>
      <c r="F143" s="2">
        <v>2048000000</v>
      </c>
      <c r="G143" s="2" t="str">
        <f>Table1_1[[#This Row],[Country Name]]&amp;"|"&amp;Table1_1[[#This Row],[Series Name]]&amp;"|"&amp;Table1_1[[#This Row],[Years]]</f>
        <v>Pakistan|Foreign direct investment, net inflows (BoP, current US$)|2023</v>
      </c>
    </row>
    <row r="144" spans="1:7" x14ac:dyDescent="0.3">
      <c r="A144" s="2" t="s">
        <v>39</v>
      </c>
      <c r="B144" s="2" t="s">
        <v>76</v>
      </c>
      <c r="C144" s="2" t="s">
        <v>13</v>
      </c>
      <c r="D144" s="2" t="s">
        <v>123</v>
      </c>
      <c r="E144" s="2" t="s">
        <v>166</v>
      </c>
      <c r="F144" s="2">
        <v>2665000000</v>
      </c>
      <c r="G144" s="2" t="str">
        <f>Table1_1[[#This Row],[Country Name]]&amp;"|"&amp;Table1_1[[#This Row],[Series Name]]&amp;"|"&amp;Table1_1[[#This Row],[Years]]</f>
        <v>Pakistan|Foreign direct investment, net inflows (BoP, current US$)|2024</v>
      </c>
    </row>
    <row r="145" spans="1:7" x14ac:dyDescent="0.3">
      <c r="A145" s="2" t="s">
        <v>39</v>
      </c>
      <c r="B145" s="2" t="s">
        <v>76</v>
      </c>
      <c r="C145" s="2" t="s">
        <v>13</v>
      </c>
      <c r="D145" s="2" t="s">
        <v>123</v>
      </c>
      <c r="E145" s="2" t="s">
        <v>167</v>
      </c>
      <c r="F145" s="2">
        <v>1852000000</v>
      </c>
      <c r="G145" s="2" t="str">
        <f>Table1_1[[#This Row],[Country Name]]&amp;"|"&amp;Table1_1[[#This Row],[Series Name]]&amp;"|"&amp;Table1_1[[#This Row],[Years]]</f>
        <v>Pakistan|Foreign direct investment, net inflows (BoP, current US$)|2025</v>
      </c>
    </row>
    <row r="146" spans="1:7" x14ac:dyDescent="0.3">
      <c r="A146" s="2" t="s">
        <v>39</v>
      </c>
      <c r="B146" s="2" t="s">
        <v>76</v>
      </c>
      <c r="C146" s="2" t="s">
        <v>107</v>
      </c>
      <c r="D146" s="2" t="s">
        <v>106</v>
      </c>
      <c r="E146" s="2" t="s">
        <v>152</v>
      </c>
      <c r="F146" s="2">
        <v>199239047</v>
      </c>
      <c r="G146" s="2" t="str">
        <f>Table1_1[[#This Row],[Country Name]]&amp;"|"&amp;Table1_1[[#This Row],[Series Name]]&amp;"|"&amp;Table1_1[[#This Row],[Years]]</f>
        <v>Pakistan|Population, total|2010</v>
      </c>
    </row>
    <row r="147" spans="1:7" x14ac:dyDescent="0.3">
      <c r="A147" s="2" t="s">
        <v>39</v>
      </c>
      <c r="B147" s="2" t="s">
        <v>76</v>
      </c>
      <c r="C147" s="2" t="s">
        <v>107</v>
      </c>
      <c r="D147" s="2" t="s">
        <v>106</v>
      </c>
      <c r="E147" s="2" t="s">
        <v>153</v>
      </c>
      <c r="F147" s="2">
        <v>203746065</v>
      </c>
      <c r="G147" s="2" t="str">
        <f>Table1_1[[#This Row],[Country Name]]&amp;"|"&amp;Table1_1[[#This Row],[Series Name]]&amp;"|"&amp;Table1_1[[#This Row],[Years]]</f>
        <v>Pakistan|Population, total|2011</v>
      </c>
    </row>
    <row r="148" spans="1:7" x14ac:dyDescent="0.3">
      <c r="A148" s="2" t="s">
        <v>39</v>
      </c>
      <c r="B148" s="2" t="s">
        <v>76</v>
      </c>
      <c r="C148" s="2" t="s">
        <v>107</v>
      </c>
      <c r="D148" s="2" t="s">
        <v>106</v>
      </c>
      <c r="E148" s="2" t="s">
        <v>154</v>
      </c>
      <c r="F148" s="2">
        <v>207667125</v>
      </c>
      <c r="G148" s="2" t="str">
        <f>Table1_1[[#This Row],[Country Name]]&amp;"|"&amp;Table1_1[[#This Row],[Series Name]]&amp;"|"&amp;Table1_1[[#This Row],[Years]]</f>
        <v>Pakistan|Population, total|2012</v>
      </c>
    </row>
    <row r="149" spans="1:7" x14ac:dyDescent="0.3">
      <c r="A149" s="2" t="s">
        <v>39</v>
      </c>
      <c r="B149" s="2" t="s">
        <v>76</v>
      </c>
      <c r="C149" s="2" t="s">
        <v>107</v>
      </c>
      <c r="D149" s="2" t="s">
        <v>106</v>
      </c>
      <c r="E149" s="2" t="s">
        <v>155</v>
      </c>
      <c r="F149" s="2">
        <v>211073978</v>
      </c>
      <c r="G149" s="2" t="str">
        <f>Table1_1[[#This Row],[Country Name]]&amp;"|"&amp;Table1_1[[#This Row],[Series Name]]&amp;"|"&amp;Table1_1[[#This Row],[Years]]</f>
        <v>Pakistan|Population, total|2013</v>
      </c>
    </row>
    <row r="150" spans="1:7" x14ac:dyDescent="0.3">
      <c r="A150" s="2" t="s">
        <v>39</v>
      </c>
      <c r="B150" s="2" t="s">
        <v>76</v>
      </c>
      <c r="C150" s="2" t="s">
        <v>107</v>
      </c>
      <c r="D150" s="2" t="s">
        <v>106</v>
      </c>
      <c r="E150" s="2" t="s">
        <v>156</v>
      </c>
      <c r="F150" s="2">
        <v>214264647</v>
      </c>
      <c r="G150" s="2" t="str">
        <f>Table1_1[[#This Row],[Country Name]]&amp;"|"&amp;Table1_1[[#This Row],[Series Name]]&amp;"|"&amp;Table1_1[[#This Row],[Years]]</f>
        <v>Pakistan|Population, total|2014</v>
      </c>
    </row>
    <row r="151" spans="1:7" x14ac:dyDescent="0.3">
      <c r="A151" s="2" t="s">
        <v>39</v>
      </c>
      <c r="B151" s="2" t="s">
        <v>76</v>
      </c>
      <c r="C151" s="2" t="s">
        <v>107</v>
      </c>
      <c r="D151" s="2" t="s">
        <v>106</v>
      </c>
      <c r="E151" s="2" t="s">
        <v>157</v>
      </c>
      <c r="F151" s="2">
        <v>217290883</v>
      </c>
      <c r="G151" s="2" t="str">
        <f>Table1_1[[#This Row],[Country Name]]&amp;"|"&amp;Table1_1[[#This Row],[Series Name]]&amp;"|"&amp;Table1_1[[#This Row],[Years]]</f>
        <v>Pakistan|Population, total|2015</v>
      </c>
    </row>
    <row r="152" spans="1:7" x14ac:dyDescent="0.3">
      <c r="A152" s="2" t="s">
        <v>39</v>
      </c>
      <c r="B152" s="2" t="s">
        <v>76</v>
      </c>
      <c r="C152" s="2" t="s">
        <v>107</v>
      </c>
      <c r="D152" s="2" t="s">
        <v>106</v>
      </c>
      <c r="E152" s="2" t="s">
        <v>158</v>
      </c>
      <c r="F152" s="2">
        <v>220138869</v>
      </c>
      <c r="G152" s="2" t="str">
        <f>Table1_1[[#This Row],[Country Name]]&amp;"|"&amp;Table1_1[[#This Row],[Series Name]]&amp;"|"&amp;Table1_1[[#This Row],[Years]]</f>
        <v>Pakistan|Population, total|2016</v>
      </c>
    </row>
    <row r="153" spans="1:7" x14ac:dyDescent="0.3">
      <c r="A153" s="2" t="s">
        <v>39</v>
      </c>
      <c r="B153" s="2" t="s">
        <v>76</v>
      </c>
      <c r="C153" s="2" t="s">
        <v>107</v>
      </c>
      <c r="D153" s="2" t="s">
        <v>106</v>
      </c>
      <c r="E153" s="2" t="s">
        <v>159</v>
      </c>
      <c r="F153" s="2">
        <v>223273967</v>
      </c>
      <c r="G153" s="2" t="str">
        <f>Table1_1[[#This Row],[Country Name]]&amp;"|"&amp;Table1_1[[#This Row],[Series Name]]&amp;"|"&amp;Table1_1[[#This Row],[Years]]</f>
        <v>Pakistan|Population, total|2017</v>
      </c>
    </row>
    <row r="154" spans="1:7" x14ac:dyDescent="0.3">
      <c r="A154" s="2" t="s">
        <v>39</v>
      </c>
      <c r="B154" s="2" t="s">
        <v>76</v>
      </c>
      <c r="C154" s="2" t="s">
        <v>107</v>
      </c>
      <c r="D154" s="2" t="s">
        <v>106</v>
      </c>
      <c r="E154" s="2" t="s">
        <v>160</v>
      </c>
      <c r="F154" s="2">
        <v>226928892</v>
      </c>
      <c r="G154" s="2" t="str">
        <f>Table1_1[[#This Row],[Country Name]]&amp;"|"&amp;Table1_1[[#This Row],[Series Name]]&amp;"|"&amp;Table1_1[[#This Row],[Years]]</f>
        <v>Pakistan|Population, total|2018</v>
      </c>
    </row>
    <row r="155" spans="1:7" x14ac:dyDescent="0.3">
      <c r="A155" s="2" t="s">
        <v>39</v>
      </c>
      <c r="B155" s="2" t="s">
        <v>76</v>
      </c>
      <c r="C155" s="2" t="s">
        <v>107</v>
      </c>
      <c r="D155" s="2" t="s">
        <v>106</v>
      </c>
      <c r="E155" s="2" t="s">
        <v>161</v>
      </c>
      <c r="F155" s="2">
        <v>230800899</v>
      </c>
      <c r="G155" s="2" t="str">
        <f>Table1_1[[#This Row],[Country Name]]&amp;"|"&amp;Table1_1[[#This Row],[Series Name]]&amp;"|"&amp;Table1_1[[#This Row],[Years]]</f>
        <v>Pakistan|Population, total|2019</v>
      </c>
    </row>
    <row r="156" spans="1:7" x14ac:dyDescent="0.3">
      <c r="A156" s="2" t="s">
        <v>39</v>
      </c>
      <c r="B156" s="2" t="s">
        <v>76</v>
      </c>
      <c r="C156" s="2" t="s">
        <v>107</v>
      </c>
      <c r="D156" s="2" t="s">
        <v>106</v>
      </c>
      <c r="E156" s="2" t="s">
        <v>162</v>
      </c>
      <c r="F156" s="2">
        <v>235001746</v>
      </c>
      <c r="G156" s="2" t="str">
        <f>Table1_1[[#This Row],[Country Name]]&amp;"|"&amp;Table1_1[[#This Row],[Series Name]]&amp;"|"&amp;Table1_1[[#This Row],[Years]]</f>
        <v>Pakistan|Population, total|2020</v>
      </c>
    </row>
    <row r="157" spans="1:7" x14ac:dyDescent="0.3">
      <c r="A157" s="2" t="s">
        <v>39</v>
      </c>
      <c r="B157" s="2" t="s">
        <v>76</v>
      </c>
      <c r="C157" s="2" t="s">
        <v>107</v>
      </c>
      <c r="D157" s="2" t="s">
        <v>106</v>
      </c>
      <c r="E157" s="2" t="s">
        <v>163</v>
      </c>
      <c r="F157" s="2">
        <v>239477801</v>
      </c>
      <c r="G157" s="2" t="str">
        <f>Table1_1[[#This Row],[Country Name]]&amp;"|"&amp;Table1_1[[#This Row],[Series Name]]&amp;"|"&amp;Table1_1[[#This Row],[Years]]</f>
        <v>Pakistan|Population, total|2021</v>
      </c>
    </row>
    <row r="158" spans="1:7" x14ac:dyDescent="0.3">
      <c r="A158" s="2" t="s">
        <v>39</v>
      </c>
      <c r="B158" s="2" t="s">
        <v>76</v>
      </c>
      <c r="C158" s="2" t="s">
        <v>107</v>
      </c>
      <c r="D158" s="2" t="s">
        <v>106</v>
      </c>
      <c r="E158" s="2" t="s">
        <v>164</v>
      </c>
      <c r="F158" s="2">
        <v>243700667</v>
      </c>
      <c r="G158" s="2" t="str">
        <f>Table1_1[[#This Row],[Country Name]]&amp;"|"&amp;Table1_1[[#This Row],[Series Name]]&amp;"|"&amp;Table1_1[[#This Row],[Years]]</f>
        <v>Pakistan|Population, total|2022</v>
      </c>
    </row>
    <row r="159" spans="1:7" x14ac:dyDescent="0.3">
      <c r="A159" s="2" t="s">
        <v>39</v>
      </c>
      <c r="B159" s="2" t="s">
        <v>76</v>
      </c>
      <c r="C159" s="2" t="s">
        <v>107</v>
      </c>
      <c r="D159" s="2" t="s">
        <v>106</v>
      </c>
      <c r="E159" s="2" t="s">
        <v>165</v>
      </c>
      <c r="F159" s="2">
        <v>247504495</v>
      </c>
      <c r="G159" s="2" t="str">
        <f>Table1_1[[#This Row],[Country Name]]&amp;"|"&amp;Table1_1[[#This Row],[Series Name]]&amp;"|"&amp;Table1_1[[#This Row],[Years]]</f>
        <v>Pakistan|Population, total|2023</v>
      </c>
    </row>
    <row r="160" spans="1:7" x14ac:dyDescent="0.3">
      <c r="A160" s="2" t="s">
        <v>39</v>
      </c>
      <c r="B160" s="2" t="s">
        <v>76</v>
      </c>
      <c r="C160" s="2" t="s">
        <v>107</v>
      </c>
      <c r="D160" s="2" t="s">
        <v>106</v>
      </c>
      <c r="E160" s="2" t="s">
        <v>166</v>
      </c>
      <c r="F160" s="2">
        <v>251269164</v>
      </c>
      <c r="G160" s="2" t="str">
        <f>Table1_1[[#This Row],[Country Name]]&amp;"|"&amp;Table1_1[[#This Row],[Series Name]]&amp;"|"&amp;Table1_1[[#This Row],[Years]]</f>
        <v>Pakistan|Population, total|2024</v>
      </c>
    </row>
    <row r="161" spans="1:7" x14ac:dyDescent="0.3">
      <c r="A161" s="2" t="s">
        <v>39</v>
      </c>
      <c r="B161" s="2" t="s">
        <v>76</v>
      </c>
      <c r="C161" s="2" t="s">
        <v>107</v>
      </c>
      <c r="D161" s="2" t="s">
        <v>106</v>
      </c>
      <c r="E161" s="2" t="s">
        <v>167</v>
      </c>
      <c r="F161" s="2">
        <v>255219554</v>
      </c>
      <c r="G161" s="2" t="str">
        <f>Table1_1[[#This Row],[Country Name]]&amp;"|"&amp;Table1_1[[#This Row],[Series Name]]&amp;"|"&amp;Table1_1[[#This Row],[Years]]</f>
        <v>Pakistan|Population, total|2025</v>
      </c>
    </row>
    <row r="162" spans="1:7" x14ac:dyDescent="0.3">
      <c r="A162" s="2" t="s">
        <v>52</v>
      </c>
      <c r="B162" s="2" t="s">
        <v>47</v>
      </c>
      <c r="C162" s="2" t="s">
        <v>25</v>
      </c>
      <c r="D162" s="2" t="s">
        <v>89</v>
      </c>
      <c r="E162" s="2" t="s">
        <v>152</v>
      </c>
      <c r="F162" s="2">
        <v>1675615519484.959</v>
      </c>
      <c r="G162" s="2" t="str">
        <f>Table1_1[[#This Row],[Country Name]]&amp;"|"&amp;Table1_1[[#This Row],[Series Name]]&amp;"|"&amp;Table1_1[[#This Row],[Years]]</f>
        <v>India|GDP (current US$)|2010</v>
      </c>
    </row>
    <row r="163" spans="1:7" x14ac:dyDescent="0.3">
      <c r="A163" s="2" t="s">
        <v>52</v>
      </c>
      <c r="B163" s="2" t="s">
        <v>47</v>
      </c>
      <c r="C163" s="2" t="s">
        <v>25</v>
      </c>
      <c r="D163" s="2" t="s">
        <v>89</v>
      </c>
      <c r="E163" s="2" t="s">
        <v>153</v>
      </c>
      <c r="F163" s="2">
        <v>1823051829894.5461</v>
      </c>
      <c r="G163" s="2" t="str">
        <f>Table1_1[[#This Row],[Country Name]]&amp;"|"&amp;Table1_1[[#This Row],[Series Name]]&amp;"|"&amp;Table1_1[[#This Row],[Years]]</f>
        <v>India|GDP (current US$)|2011</v>
      </c>
    </row>
    <row r="164" spans="1:7" x14ac:dyDescent="0.3">
      <c r="A164" s="2" t="s">
        <v>52</v>
      </c>
      <c r="B164" s="2" t="s">
        <v>47</v>
      </c>
      <c r="C164" s="2" t="s">
        <v>25</v>
      </c>
      <c r="D164" s="2" t="s">
        <v>89</v>
      </c>
      <c r="E164" s="2" t="s">
        <v>154</v>
      </c>
      <c r="F164" s="2">
        <v>1827637590410.4143</v>
      </c>
      <c r="G164" s="2" t="str">
        <f>Table1_1[[#This Row],[Country Name]]&amp;"|"&amp;Table1_1[[#This Row],[Series Name]]&amp;"|"&amp;Table1_1[[#This Row],[Years]]</f>
        <v>India|GDP (current US$)|2012</v>
      </c>
    </row>
    <row r="165" spans="1:7" x14ac:dyDescent="0.3">
      <c r="A165" s="2" t="s">
        <v>52</v>
      </c>
      <c r="B165" s="2" t="s">
        <v>47</v>
      </c>
      <c r="C165" s="2" t="s">
        <v>25</v>
      </c>
      <c r="D165" s="2" t="s">
        <v>89</v>
      </c>
      <c r="E165" s="2" t="s">
        <v>155</v>
      </c>
      <c r="F165" s="2">
        <v>1856721507621.5764</v>
      </c>
      <c r="G165" s="2" t="str">
        <f>Table1_1[[#This Row],[Country Name]]&amp;"|"&amp;Table1_1[[#This Row],[Series Name]]&amp;"|"&amp;Table1_1[[#This Row],[Years]]</f>
        <v>India|GDP (current US$)|2013</v>
      </c>
    </row>
    <row r="166" spans="1:7" x14ac:dyDescent="0.3">
      <c r="A166" s="2" t="s">
        <v>52</v>
      </c>
      <c r="B166" s="2" t="s">
        <v>47</v>
      </c>
      <c r="C166" s="2" t="s">
        <v>25</v>
      </c>
      <c r="D166" s="2" t="s">
        <v>89</v>
      </c>
      <c r="E166" s="2" t="s">
        <v>156</v>
      </c>
      <c r="F166" s="2">
        <v>2039126479154.5168</v>
      </c>
      <c r="G166" s="2" t="str">
        <f>Table1_1[[#This Row],[Country Name]]&amp;"|"&amp;Table1_1[[#This Row],[Series Name]]&amp;"|"&amp;Table1_1[[#This Row],[Years]]</f>
        <v>India|GDP (current US$)|2014</v>
      </c>
    </row>
    <row r="167" spans="1:7" x14ac:dyDescent="0.3">
      <c r="A167" s="2" t="s">
        <v>52</v>
      </c>
      <c r="B167" s="2" t="s">
        <v>47</v>
      </c>
      <c r="C167" s="2" t="s">
        <v>25</v>
      </c>
      <c r="D167" s="2" t="s">
        <v>89</v>
      </c>
      <c r="E167" s="2" t="s">
        <v>157</v>
      </c>
      <c r="F167" s="2">
        <v>2103588360044.9392</v>
      </c>
      <c r="G167" s="2" t="str">
        <f>Table1_1[[#This Row],[Country Name]]&amp;"|"&amp;Table1_1[[#This Row],[Series Name]]&amp;"|"&amp;Table1_1[[#This Row],[Years]]</f>
        <v>India|GDP (current US$)|2015</v>
      </c>
    </row>
    <row r="168" spans="1:7" x14ac:dyDescent="0.3">
      <c r="A168" s="2" t="s">
        <v>52</v>
      </c>
      <c r="B168" s="2" t="s">
        <v>47</v>
      </c>
      <c r="C168" s="2" t="s">
        <v>25</v>
      </c>
      <c r="D168" s="2" t="s">
        <v>89</v>
      </c>
      <c r="E168" s="2" t="s">
        <v>158</v>
      </c>
      <c r="F168" s="2">
        <v>2294796885663.1631</v>
      </c>
      <c r="G168" s="2" t="str">
        <f>Table1_1[[#This Row],[Country Name]]&amp;"|"&amp;Table1_1[[#This Row],[Series Name]]&amp;"|"&amp;Table1_1[[#This Row],[Years]]</f>
        <v>India|GDP (current US$)|2016</v>
      </c>
    </row>
    <row r="169" spans="1:7" x14ac:dyDescent="0.3">
      <c r="A169" s="2" t="s">
        <v>52</v>
      </c>
      <c r="B169" s="2" t="s">
        <v>47</v>
      </c>
      <c r="C169" s="2" t="s">
        <v>25</v>
      </c>
      <c r="D169" s="2" t="s">
        <v>89</v>
      </c>
      <c r="E169" s="2" t="s">
        <v>159</v>
      </c>
      <c r="F169" s="2">
        <v>2651474262755.4521</v>
      </c>
      <c r="G169" s="2" t="str">
        <f>Table1_1[[#This Row],[Country Name]]&amp;"|"&amp;Table1_1[[#This Row],[Series Name]]&amp;"|"&amp;Table1_1[[#This Row],[Years]]</f>
        <v>India|GDP (current US$)|2017</v>
      </c>
    </row>
    <row r="170" spans="1:7" x14ac:dyDescent="0.3">
      <c r="A170" s="2" t="s">
        <v>52</v>
      </c>
      <c r="B170" s="2" t="s">
        <v>47</v>
      </c>
      <c r="C170" s="2" t="s">
        <v>25</v>
      </c>
      <c r="D170" s="2" t="s">
        <v>89</v>
      </c>
      <c r="E170" s="2" t="s">
        <v>160</v>
      </c>
      <c r="F170" s="2">
        <v>2702929641648.7407</v>
      </c>
      <c r="G170" s="2" t="str">
        <f>Table1_1[[#This Row],[Country Name]]&amp;"|"&amp;Table1_1[[#This Row],[Series Name]]&amp;"|"&amp;Table1_1[[#This Row],[Years]]</f>
        <v>India|GDP (current US$)|2018</v>
      </c>
    </row>
    <row r="171" spans="1:7" x14ac:dyDescent="0.3">
      <c r="A171" s="2" t="s">
        <v>52</v>
      </c>
      <c r="B171" s="2" t="s">
        <v>47</v>
      </c>
      <c r="C171" s="2" t="s">
        <v>25</v>
      </c>
      <c r="D171" s="2" t="s">
        <v>89</v>
      </c>
      <c r="E171" s="2" t="s">
        <v>161</v>
      </c>
      <c r="F171" s="2">
        <v>2835606256558.1948</v>
      </c>
      <c r="G171" s="2" t="str">
        <f>Table1_1[[#This Row],[Country Name]]&amp;"|"&amp;Table1_1[[#This Row],[Series Name]]&amp;"|"&amp;Table1_1[[#This Row],[Years]]</f>
        <v>India|GDP (current US$)|2019</v>
      </c>
    </row>
    <row r="172" spans="1:7" x14ac:dyDescent="0.3">
      <c r="A172" s="2" t="s">
        <v>52</v>
      </c>
      <c r="B172" s="2" t="s">
        <v>47</v>
      </c>
      <c r="C172" s="2" t="s">
        <v>25</v>
      </c>
      <c r="D172" s="2" t="s">
        <v>89</v>
      </c>
      <c r="E172" s="2" t="s">
        <v>162</v>
      </c>
      <c r="F172" s="2">
        <v>2674851578587.2686</v>
      </c>
      <c r="G172" s="2" t="str">
        <f>Table1_1[[#This Row],[Country Name]]&amp;"|"&amp;Table1_1[[#This Row],[Series Name]]&amp;"|"&amp;Table1_1[[#This Row],[Years]]</f>
        <v>India|GDP (current US$)|2020</v>
      </c>
    </row>
    <row r="173" spans="1:7" x14ac:dyDescent="0.3">
      <c r="A173" s="2" t="s">
        <v>52</v>
      </c>
      <c r="B173" s="2" t="s">
        <v>47</v>
      </c>
      <c r="C173" s="2" t="s">
        <v>25</v>
      </c>
      <c r="D173" s="2" t="s">
        <v>89</v>
      </c>
      <c r="E173" s="2" t="s">
        <v>163</v>
      </c>
      <c r="F173" s="2">
        <v>3167270623260.4688</v>
      </c>
      <c r="G173" s="2" t="str">
        <f>Table1_1[[#This Row],[Country Name]]&amp;"|"&amp;Table1_1[[#This Row],[Series Name]]&amp;"|"&amp;Table1_1[[#This Row],[Years]]</f>
        <v>India|GDP (current US$)|2021</v>
      </c>
    </row>
    <row r="174" spans="1:7" x14ac:dyDescent="0.3">
      <c r="A174" s="2" t="s">
        <v>52</v>
      </c>
      <c r="B174" s="2" t="s">
        <v>47</v>
      </c>
      <c r="C174" s="2" t="s">
        <v>25</v>
      </c>
      <c r="D174" s="2" t="s">
        <v>89</v>
      </c>
      <c r="E174" s="2" t="s">
        <v>164</v>
      </c>
      <c r="F174" s="2">
        <v>3249938492013.4712</v>
      </c>
      <c r="G174" s="2" t="str">
        <f>Table1_1[[#This Row],[Country Name]]&amp;"|"&amp;Table1_1[[#This Row],[Series Name]]&amp;"|"&amp;Table1_1[[#This Row],[Years]]</f>
        <v>India|GDP (current US$)|2022</v>
      </c>
    </row>
    <row r="175" spans="1:7" x14ac:dyDescent="0.3">
      <c r="A175" s="2" t="s">
        <v>52</v>
      </c>
      <c r="B175" s="2" t="s">
        <v>47</v>
      </c>
      <c r="C175" s="2" t="s">
        <v>25</v>
      </c>
      <c r="D175" s="2" t="s">
        <v>89</v>
      </c>
      <c r="E175" s="2" t="s">
        <v>165</v>
      </c>
      <c r="F175" s="2">
        <v>3500906030644.7642</v>
      </c>
      <c r="G175" s="2" t="str">
        <f>Table1_1[[#This Row],[Country Name]]&amp;"|"&amp;Table1_1[[#This Row],[Series Name]]&amp;"|"&amp;Table1_1[[#This Row],[Years]]</f>
        <v>India|GDP (current US$)|2023</v>
      </c>
    </row>
    <row r="176" spans="1:7" x14ac:dyDescent="0.3">
      <c r="A176" s="2" t="s">
        <v>52</v>
      </c>
      <c r="B176" s="2" t="s">
        <v>47</v>
      </c>
      <c r="C176" s="2" t="s">
        <v>25</v>
      </c>
      <c r="D176" s="2" t="s">
        <v>89</v>
      </c>
      <c r="E176" s="2" t="s">
        <v>166</v>
      </c>
      <c r="F176" s="2">
        <v>3760813470500.8564</v>
      </c>
      <c r="G176" s="2" t="str">
        <f>Table1_1[[#This Row],[Country Name]]&amp;"|"&amp;Table1_1[[#This Row],[Series Name]]&amp;"|"&amp;Table1_1[[#This Row],[Years]]</f>
        <v>India|GDP (current US$)|2024</v>
      </c>
    </row>
    <row r="177" spans="1:7" x14ac:dyDescent="0.3">
      <c r="A177" s="2" t="s">
        <v>52</v>
      </c>
      <c r="B177" s="2" t="s">
        <v>47</v>
      </c>
      <c r="C177" s="2" t="s">
        <v>25</v>
      </c>
      <c r="D177" s="2" t="s">
        <v>89</v>
      </c>
      <c r="E177" s="2" t="s">
        <v>167</v>
      </c>
      <c r="F177" s="2">
        <v>3956067115771.6313</v>
      </c>
      <c r="G177" s="2" t="str">
        <f>Table1_1[[#This Row],[Country Name]]&amp;"|"&amp;Table1_1[[#This Row],[Series Name]]&amp;"|"&amp;Table1_1[[#This Row],[Years]]</f>
        <v>India|GDP (current US$)|2025</v>
      </c>
    </row>
    <row r="178" spans="1:7" x14ac:dyDescent="0.3">
      <c r="A178" s="2" t="s">
        <v>52</v>
      </c>
      <c r="B178" s="2" t="s">
        <v>47</v>
      </c>
      <c r="C178" s="2" t="s">
        <v>67</v>
      </c>
      <c r="D178" s="2" t="s">
        <v>24</v>
      </c>
      <c r="E178" s="2" t="s">
        <v>152</v>
      </c>
      <c r="F178" s="2">
        <v>8.4975847016562511</v>
      </c>
      <c r="G178" s="2" t="str">
        <f>Table1_1[[#This Row],[Country Name]]&amp;"|"&amp;Table1_1[[#This Row],[Series Name]]&amp;"|"&amp;Table1_1[[#This Row],[Years]]</f>
        <v>India|GDP growth (annual %)|2010</v>
      </c>
    </row>
    <row r="179" spans="1:7" x14ac:dyDescent="0.3">
      <c r="A179" s="2" t="s">
        <v>52</v>
      </c>
      <c r="B179" s="2" t="s">
        <v>47</v>
      </c>
      <c r="C179" s="2" t="s">
        <v>67</v>
      </c>
      <c r="D179" s="2" t="s">
        <v>24</v>
      </c>
      <c r="E179" s="2" t="s">
        <v>153</v>
      </c>
      <c r="F179" s="2">
        <v>5.2413162002429345</v>
      </c>
      <c r="G179" s="2" t="str">
        <f>Table1_1[[#This Row],[Country Name]]&amp;"|"&amp;Table1_1[[#This Row],[Series Name]]&amp;"|"&amp;Table1_1[[#This Row],[Years]]</f>
        <v>India|GDP growth (annual %)|2011</v>
      </c>
    </row>
    <row r="180" spans="1:7" x14ac:dyDescent="0.3">
      <c r="A180" s="2" t="s">
        <v>52</v>
      </c>
      <c r="B180" s="2" t="s">
        <v>47</v>
      </c>
      <c r="C180" s="2" t="s">
        <v>67</v>
      </c>
      <c r="D180" s="2" t="s">
        <v>24</v>
      </c>
      <c r="E180" s="2" t="s">
        <v>154</v>
      </c>
      <c r="F180" s="2">
        <v>5.4563875516477225</v>
      </c>
      <c r="G180" s="2" t="str">
        <f>Table1_1[[#This Row],[Country Name]]&amp;"|"&amp;Table1_1[[#This Row],[Series Name]]&amp;"|"&amp;Table1_1[[#This Row],[Years]]</f>
        <v>India|GDP growth (annual %)|2012</v>
      </c>
    </row>
    <row r="181" spans="1:7" x14ac:dyDescent="0.3">
      <c r="A181" s="2" t="s">
        <v>52</v>
      </c>
      <c r="B181" s="2" t="s">
        <v>47</v>
      </c>
      <c r="C181" s="2" t="s">
        <v>67</v>
      </c>
      <c r="D181" s="2" t="s">
        <v>24</v>
      </c>
      <c r="E181" s="2" t="s">
        <v>155</v>
      </c>
      <c r="F181" s="2">
        <v>6.3861064009171287</v>
      </c>
      <c r="G181" s="2" t="str">
        <f>Table1_1[[#This Row],[Country Name]]&amp;"|"&amp;Table1_1[[#This Row],[Series Name]]&amp;"|"&amp;Table1_1[[#This Row],[Years]]</f>
        <v>India|GDP growth (annual %)|2013</v>
      </c>
    </row>
    <row r="182" spans="1:7" x14ac:dyDescent="0.3">
      <c r="A182" s="2" t="s">
        <v>52</v>
      </c>
      <c r="B182" s="2" t="s">
        <v>47</v>
      </c>
      <c r="C182" s="2" t="s">
        <v>67</v>
      </c>
      <c r="D182" s="2" t="s">
        <v>24</v>
      </c>
      <c r="E182" s="2" t="s">
        <v>156</v>
      </c>
      <c r="F182" s="2">
        <v>7.4102276051697658</v>
      </c>
      <c r="G182" s="2" t="str">
        <f>Table1_1[[#This Row],[Country Name]]&amp;"|"&amp;Table1_1[[#This Row],[Series Name]]&amp;"|"&amp;Table1_1[[#This Row],[Years]]</f>
        <v>India|GDP growth (annual %)|2014</v>
      </c>
    </row>
    <row r="183" spans="1:7" x14ac:dyDescent="0.3">
      <c r="A183" s="2" t="s">
        <v>52</v>
      </c>
      <c r="B183" s="2" t="s">
        <v>47</v>
      </c>
      <c r="C183" s="2" t="s">
        <v>67</v>
      </c>
      <c r="D183" s="2" t="s">
        <v>24</v>
      </c>
      <c r="E183" s="2" t="s">
        <v>157</v>
      </c>
      <c r="F183" s="2">
        <v>7.996253785679869</v>
      </c>
      <c r="G183" s="2" t="str">
        <f>Table1_1[[#This Row],[Country Name]]&amp;"|"&amp;Table1_1[[#This Row],[Series Name]]&amp;"|"&amp;Table1_1[[#This Row],[Years]]</f>
        <v>India|GDP growth (annual %)|2015</v>
      </c>
    </row>
    <row r="184" spans="1:7" x14ac:dyDescent="0.3">
      <c r="A184" s="2" t="s">
        <v>52</v>
      </c>
      <c r="B184" s="2" t="s">
        <v>47</v>
      </c>
      <c r="C184" s="2" t="s">
        <v>67</v>
      </c>
      <c r="D184" s="2" t="s">
        <v>24</v>
      </c>
      <c r="E184" s="2" t="s">
        <v>158</v>
      </c>
      <c r="F184" s="2">
        <v>8.2563055017666187</v>
      </c>
      <c r="G184" s="2" t="str">
        <f>Table1_1[[#This Row],[Country Name]]&amp;"|"&amp;Table1_1[[#This Row],[Series Name]]&amp;"|"&amp;Table1_1[[#This Row],[Years]]</f>
        <v>India|GDP growth (annual %)|2016</v>
      </c>
    </row>
    <row r="185" spans="1:7" x14ac:dyDescent="0.3">
      <c r="A185" s="2" t="s">
        <v>52</v>
      </c>
      <c r="B185" s="2" t="s">
        <v>47</v>
      </c>
      <c r="C185" s="2" t="s">
        <v>67</v>
      </c>
      <c r="D185" s="2" t="s">
        <v>24</v>
      </c>
      <c r="E185" s="2" t="s">
        <v>159</v>
      </c>
      <c r="F185" s="2">
        <v>6.7953834190242191</v>
      </c>
      <c r="G185" s="2" t="str">
        <f>Table1_1[[#This Row],[Country Name]]&amp;"|"&amp;Table1_1[[#This Row],[Series Name]]&amp;"|"&amp;Table1_1[[#This Row],[Years]]</f>
        <v>India|GDP growth (annual %)|2017</v>
      </c>
    </row>
    <row r="186" spans="1:7" x14ac:dyDescent="0.3">
      <c r="A186" s="2" t="s">
        <v>52</v>
      </c>
      <c r="B186" s="2" t="s">
        <v>47</v>
      </c>
      <c r="C186" s="2" t="s">
        <v>67</v>
      </c>
      <c r="D186" s="2" t="s">
        <v>24</v>
      </c>
      <c r="E186" s="2" t="s">
        <v>160</v>
      </c>
      <c r="F186" s="2">
        <v>6.4538513449529518</v>
      </c>
      <c r="G186" s="2" t="str">
        <f>Table1_1[[#This Row],[Country Name]]&amp;"|"&amp;Table1_1[[#This Row],[Series Name]]&amp;"|"&amp;Table1_1[[#This Row],[Years]]</f>
        <v>India|GDP growth (annual %)|2018</v>
      </c>
    </row>
    <row r="187" spans="1:7" x14ac:dyDescent="0.3">
      <c r="A187" s="2" t="s">
        <v>52</v>
      </c>
      <c r="B187" s="2" t="s">
        <v>47</v>
      </c>
      <c r="C187" s="2" t="s">
        <v>67</v>
      </c>
      <c r="D187" s="2" t="s">
        <v>24</v>
      </c>
      <c r="E187" s="2" t="s">
        <v>161</v>
      </c>
      <c r="F187" s="2">
        <v>3.8714369407052374</v>
      </c>
      <c r="G187" s="2" t="str">
        <f>Table1_1[[#This Row],[Country Name]]&amp;"|"&amp;Table1_1[[#This Row],[Series Name]]&amp;"|"&amp;Table1_1[[#This Row],[Years]]</f>
        <v>India|GDP growth (annual %)|2019</v>
      </c>
    </row>
    <row r="188" spans="1:7" x14ac:dyDescent="0.3">
      <c r="A188" s="2" t="s">
        <v>52</v>
      </c>
      <c r="B188" s="2" t="s">
        <v>47</v>
      </c>
      <c r="C188" s="2" t="s">
        <v>67</v>
      </c>
      <c r="D188" s="2" t="s">
        <v>24</v>
      </c>
      <c r="E188" s="2" t="s">
        <v>162</v>
      </c>
      <c r="F188" s="2">
        <v>-5.7777247068730304</v>
      </c>
      <c r="G188" s="2" t="str">
        <f>Table1_1[[#This Row],[Country Name]]&amp;"|"&amp;Table1_1[[#This Row],[Series Name]]&amp;"|"&amp;Table1_1[[#This Row],[Years]]</f>
        <v>India|GDP growth (annual %)|2020</v>
      </c>
    </row>
    <row r="189" spans="1:7" x14ac:dyDescent="0.3">
      <c r="A189" s="2" t="s">
        <v>52</v>
      </c>
      <c r="B189" s="2" t="s">
        <v>47</v>
      </c>
      <c r="C189" s="2" t="s">
        <v>67</v>
      </c>
      <c r="D189" s="2" t="s">
        <v>24</v>
      </c>
      <c r="E189" s="2" t="s">
        <v>163</v>
      </c>
      <c r="F189" s="2">
        <v>9.6895924919174092</v>
      </c>
      <c r="G189" s="2" t="str">
        <f>Table1_1[[#This Row],[Country Name]]&amp;"|"&amp;Table1_1[[#This Row],[Series Name]]&amp;"|"&amp;Table1_1[[#This Row],[Years]]</f>
        <v>India|GDP growth (annual %)|2021</v>
      </c>
    </row>
    <row r="190" spans="1:7" x14ac:dyDescent="0.3">
      <c r="A190" s="2" t="s">
        <v>52</v>
      </c>
      <c r="B190" s="2" t="s">
        <v>47</v>
      </c>
      <c r="C190" s="2" t="s">
        <v>67</v>
      </c>
      <c r="D190" s="2" t="s">
        <v>24</v>
      </c>
      <c r="E190" s="2" t="s">
        <v>164</v>
      </c>
      <c r="F190" s="2">
        <v>7.609364977693204</v>
      </c>
      <c r="G190" s="2" t="str">
        <f>Table1_1[[#This Row],[Country Name]]&amp;"|"&amp;Table1_1[[#This Row],[Series Name]]&amp;"|"&amp;Table1_1[[#This Row],[Years]]</f>
        <v>India|GDP growth (annual %)|2022</v>
      </c>
    </row>
    <row r="191" spans="1:7" x14ac:dyDescent="0.3">
      <c r="A191" s="2" t="s">
        <v>52</v>
      </c>
      <c r="B191" s="2" t="s">
        <v>47</v>
      </c>
      <c r="C191" s="2" t="s">
        <v>67</v>
      </c>
      <c r="D191" s="2" t="s">
        <v>24</v>
      </c>
      <c r="E191" s="2" t="s">
        <v>165</v>
      </c>
      <c r="F191" s="2">
        <v>7.2102246293350021</v>
      </c>
      <c r="G191" s="2" t="str">
        <f>Table1_1[[#This Row],[Country Name]]&amp;"|"&amp;Table1_1[[#This Row],[Series Name]]&amp;"|"&amp;Table1_1[[#This Row],[Years]]</f>
        <v>India|GDP growth (annual %)|2023</v>
      </c>
    </row>
    <row r="192" spans="1:7" x14ac:dyDescent="0.3">
      <c r="A192" s="2" t="s">
        <v>52</v>
      </c>
      <c r="B192" s="2" t="s">
        <v>47</v>
      </c>
      <c r="C192" s="2" t="s">
        <v>67</v>
      </c>
      <c r="D192" s="2" t="s">
        <v>24</v>
      </c>
      <c r="E192" s="2" t="s">
        <v>166</v>
      </c>
      <c r="F192" s="2">
        <v>7.0992789317651841</v>
      </c>
      <c r="G192" s="2" t="str">
        <f>Table1_1[[#This Row],[Country Name]]&amp;"|"&amp;Table1_1[[#This Row],[Series Name]]&amp;"|"&amp;Table1_1[[#This Row],[Years]]</f>
        <v>India|GDP growth (annual %)|2024</v>
      </c>
    </row>
    <row r="193" spans="1:7" x14ac:dyDescent="0.3">
      <c r="A193" s="2" t="s">
        <v>52</v>
      </c>
      <c r="B193" s="2" t="s">
        <v>47</v>
      </c>
      <c r="C193" s="2" t="s">
        <v>67</v>
      </c>
      <c r="D193" s="2" t="s">
        <v>24</v>
      </c>
      <c r="E193" s="2" t="s">
        <v>167</v>
      </c>
      <c r="F193" s="2">
        <v>7.5666617928424387</v>
      </c>
      <c r="G193" s="2" t="str">
        <f>Table1_1[[#This Row],[Country Name]]&amp;"|"&amp;Table1_1[[#This Row],[Series Name]]&amp;"|"&amp;Table1_1[[#This Row],[Years]]</f>
        <v>India|GDP growth (annual %)|2025</v>
      </c>
    </row>
    <row r="194" spans="1:7" x14ac:dyDescent="0.3">
      <c r="A194" s="2" t="s">
        <v>52</v>
      </c>
      <c r="B194" s="2" t="s">
        <v>47</v>
      </c>
      <c r="C194" s="2" t="s">
        <v>79</v>
      </c>
      <c r="D194" s="2" t="s">
        <v>91</v>
      </c>
      <c r="E194" s="2" t="s">
        <v>152</v>
      </c>
      <c r="F194" s="2">
        <v>11.98938992042449</v>
      </c>
      <c r="G194" s="2" t="str">
        <f>Table1_1[[#This Row],[Country Name]]&amp;"|"&amp;Table1_1[[#This Row],[Series Name]]&amp;"|"&amp;Table1_1[[#This Row],[Years]]</f>
        <v>India|Inflation, consumer prices (annual %)|2010</v>
      </c>
    </row>
    <row r="195" spans="1:7" x14ac:dyDescent="0.3">
      <c r="A195" s="2" t="s">
        <v>52</v>
      </c>
      <c r="B195" s="2" t="s">
        <v>47</v>
      </c>
      <c r="C195" s="2" t="s">
        <v>79</v>
      </c>
      <c r="D195" s="2" t="s">
        <v>91</v>
      </c>
      <c r="E195" s="2" t="s">
        <v>153</v>
      </c>
      <c r="F195" s="2">
        <v>8.9117933648335992</v>
      </c>
      <c r="G195" s="2" t="str">
        <f>Table1_1[[#This Row],[Country Name]]&amp;"|"&amp;Table1_1[[#This Row],[Series Name]]&amp;"|"&amp;Table1_1[[#This Row],[Years]]</f>
        <v>India|Inflation, consumer prices (annual %)|2011</v>
      </c>
    </row>
    <row r="196" spans="1:7" x14ac:dyDescent="0.3">
      <c r="A196" s="2" t="s">
        <v>52</v>
      </c>
      <c r="B196" s="2" t="s">
        <v>47</v>
      </c>
      <c r="C196" s="2" t="s">
        <v>79</v>
      </c>
      <c r="D196" s="2" t="s">
        <v>91</v>
      </c>
      <c r="E196" s="2" t="s">
        <v>154</v>
      </c>
      <c r="F196" s="2">
        <v>9.4789969141979267</v>
      </c>
      <c r="G196" s="2" t="str">
        <f>Table1_1[[#This Row],[Country Name]]&amp;"|"&amp;Table1_1[[#This Row],[Series Name]]&amp;"|"&amp;Table1_1[[#This Row],[Years]]</f>
        <v>India|Inflation, consumer prices (annual %)|2012</v>
      </c>
    </row>
    <row r="197" spans="1:7" x14ac:dyDescent="0.3">
      <c r="A197" s="2" t="s">
        <v>52</v>
      </c>
      <c r="B197" s="2" t="s">
        <v>47</v>
      </c>
      <c r="C197" s="2" t="s">
        <v>79</v>
      </c>
      <c r="D197" s="2" t="s">
        <v>91</v>
      </c>
      <c r="E197" s="2" t="s">
        <v>155</v>
      </c>
      <c r="F197" s="2">
        <v>10.017878474610431</v>
      </c>
      <c r="G197" s="2" t="str">
        <f>Table1_1[[#This Row],[Country Name]]&amp;"|"&amp;Table1_1[[#This Row],[Series Name]]&amp;"|"&amp;Table1_1[[#This Row],[Years]]</f>
        <v>India|Inflation, consumer prices (annual %)|2013</v>
      </c>
    </row>
    <row r="198" spans="1:7" x14ac:dyDescent="0.3">
      <c r="A198" s="2" t="s">
        <v>52</v>
      </c>
      <c r="B198" s="2" t="s">
        <v>47</v>
      </c>
      <c r="C198" s="2" t="s">
        <v>79</v>
      </c>
      <c r="D198" s="2" t="s">
        <v>91</v>
      </c>
      <c r="E198" s="2" t="s">
        <v>156</v>
      </c>
      <c r="F198" s="2">
        <v>6.6656567186789939</v>
      </c>
      <c r="G198" s="2" t="str">
        <f>Table1_1[[#This Row],[Country Name]]&amp;"|"&amp;Table1_1[[#This Row],[Series Name]]&amp;"|"&amp;Table1_1[[#This Row],[Years]]</f>
        <v>India|Inflation, consumer prices (annual %)|2014</v>
      </c>
    </row>
    <row r="199" spans="1:7" x14ac:dyDescent="0.3">
      <c r="A199" s="2" t="s">
        <v>52</v>
      </c>
      <c r="B199" s="2" t="s">
        <v>47</v>
      </c>
      <c r="C199" s="2" t="s">
        <v>79</v>
      </c>
      <c r="D199" s="2" t="s">
        <v>91</v>
      </c>
      <c r="E199" s="2" t="s">
        <v>157</v>
      </c>
      <c r="F199" s="2">
        <v>4.9069734412724939</v>
      </c>
      <c r="G199" s="2" t="str">
        <f>Table1_1[[#This Row],[Country Name]]&amp;"|"&amp;Table1_1[[#This Row],[Series Name]]&amp;"|"&amp;Table1_1[[#This Row],[Years]]</f>
        <v>India|Inflation, consumer prices (annual %)|2015</v>
      </c>
    </row>
    <row r="200" spans="1:7" x14ac:dyDescent="0.3">
      <c r="A200" s="2" t="s">
        <v>52</v>
      </c>
      <c r="B200" s="2" t="s">
        <v>47</v>
      </c>
      <c r="C200" s="2" t="s">
        <v>79</v>
      </c>
      <c r="D200" s="2" t="s">
        <v>91</v>
      </c>
      <c r="E200" s="2" t="s">
        <v>158</v>
      </c>
      <c r="F200" s="2">
        <v>4.9482163406213413</v>
      </c>
      <c r="G200" s="2" t="str">
        <f>Table1_1[[#This Row],[Country Name]]&amp;"|"&amp;Table1_1[[#This Row],[Series Name]]&amp;"|"&amp;Table1_1[[#This Row],[Years]]</f>
        <v>India|Inflation, consumer prices (annual %)|2016</v>
      </c>
    </row>
    <row r="201" spans="1:7" x14ac:dyDescent="0.3">
      <c r="A201" s="2" t="s">
        <v>52</v>
      </c>
      <c r="B201" s="2" t="s">
        <v>47</v>
      </c>
      <c r="C201" s="2" t="s">
        <v>79</v>
      </c>
      <c r="D201" s="2" t="s">
        <v>91</v>
      </c>
      <c r="E201" s="2" t="s">
        <v>159</v>
      </c>
      <c r="F201" s="2">
        <v>3.3281733746130469</v>
      </c>
      <c r="G201" s="2" t="str">
        <f>Table1_1[[#This Row],[Country Name]]&amp;"|"&amp;Table1_1[[#This Row],[Series Name]]&amp;"|"&amp;Table1_1[[#This Row],[Years]]</f>
        <v>India|Inflation, consumer prices (annual %)|2017</v>
      </c>
    </row>
    <row r="202" spans="1:7" x14ac:dyDescent="0.3">
      <c r="A202" s="2" t="s">
        <v>52</v>
      </c>
      <c r="B202" s="2" t="s">
        <v>47</v>
      </c>
      <c r="C202" s="2" t="s">
        <v>79</v>
      </c>
      <c r="D202" s="2" t="s">
        <v>91</v>
      </c>
      <c r="E202" s="2" t="s">
        <v>160</v>
      </c>
      <c r="F202" s="2">
        <v>3.9388264669164261</v>
      </c>
      <c r="G202" s="2" t="str">
        <f>Table1_1[[#This Row],[Country Name]]&amp;"|"&amp;Table1_1[[#This Row],[Series Name]]&amp;"|"&amp;Table1_1[[#This Row],[Years]]</f>
        <v>India|Inflation, consumer prices (annual %)|2018</v>
      </c>
    </row>
    <row r="203" spans="1:7" x14ac:dyDescent="0.3">
      <c r="A203" s="2" t="s">
        <v>52</v>
      </c>
      <c r="B203" s="2" t="s">
        <v>47</v>
      </c>
      <c r="C203" s="2" t="s">
        <v>79</v>
      </c>
      <c r="D203" s="2" t="s">
        <v>91</v>
      </c>
      <c r="E203" s="2" t="s">
        <v>161</v>
      </c>
      <c r="F203" s="2">
        <v>3.729505735391232</v>
      </c>
      <c r="G203" s="2" t="str">
        <f>Table1_1[[#This Row],[Country Name]]&amp;"|"&amp;Table1_1[[#This Row],[Series Name]]&amp;"|"&amp;Table1_1[[#This Row],[Years]]</f>
        <v>India|Inflation, consumer prices (annual %)|2019</v>
      </c>
    </row>
    <row r="204" spans="1:7" x14ac:dyDescent="0.3">
      <c r="A204" s="2" t="s">
        <v>52</v>
      </c>
      <c r="B204" s="2" t="s">
        <v>47</v>
      </c>
      <c r="C204" s="2" t="s">
        <v>79</v>
      </c>
      <c r="D204" s="2" t="s">
        <v>91</v>
      </c>
      <c r="E204" s="2" t="s">
        <v>162</v>
      </c>
      <c r="F204" s="2">
        <v>6.6234367762852964</v>
      </c>
      <c r="G204" s="2" t="str">
        <f>Table1_1[[#This Row],[Country Name]]&amp;"|"&amp;Table1_1[[#This Row],[Series Name]]&amp;"|"&amp;Table1_1[[#This Row],[Years]]</f>
        <v>India|Inflation, consumer prices (annual %)|2020</v>
      </c>
    </row>
    <row r="205" spans="1:7" x14ac:dyDescent="0.3">
      <c r="A205" s="2" t="s">
        <v>52</v>
      </c>
      <c r="B205" s="2" t="s">
        <v>47</v>
      </c>
      <c r="C205" s="2" t="s">
        <v>79</v>
      </c>
      <c r="D205" s="2" t="s">
        <v>91</v>
      </c>
      <c r="E205" s="2" t="s">
        <v>163</v>
      </c>
      <c r="F205" s="2">
        <v>5.1314074717636373</v>
      </c>
      <c r="G205" s="2" t="str">
        <f>Table1_1[[#This Row],[Country Name]]&amp;"|"&amp;Table1_1[[#This Row],[Series Name]]&amp;"|"&amp;Table1_1[[#This Row],[Years]]</f>
        <v>India|Inflation, consumer prices (annual %)|2021</v>
      </c>
    </row>
    <row r="206" spans="1:7" x14ac:dyDescent="0.3">
      <c r="A206" s="2" t="s">
        <v>52</v>
      </c>
      <c r="B206" s="2" t="s">
        <v>47</v>
      </c>
      <c r="C206" s="2" t="s">
        <v>79</v>
      </c>
      <c r="D206" s="2" t="s">
        <v>91</v>
      </c>
      <c r="E206" s="2" t="s">
        <v>164</v>
      </c>
      <c r="F206" s="2">
        <v>6.6990341407985774</v>
      </c>
      <c r="G206" s="2" t="str">
        <f>Table1_1[[#This Row],[Country Name]]&amp;"|"&amp;Table1_1[[#This Row],[Series Name]]&amp;"|"&amp;Table1_1[[#This Row],[Years]]</f>
        <v>India|Inflation, consumer prices (annual %)|2022</v>
      </c>
    </row>
    <row r="207" spans="1:7" x14ac:dyDescent="0.3">
      <c r="A207" s="2" t="s">
        <v>52</v>
      </c>
      <c r="B207" s="2" t="s">
        <v>47</v>
      </c>
      <c r="C207" s="2" t="s">
        <v>79</v>
      </c>
      <c r="D207" s="2" t="s">
        <v>91</v>
      </c>
      <c r="E207" s="2" t="s">
        <v>165</v>
      </c>
      <c r="F207" s="2">
        <v>5.6491431890792496</v>
      </c>
      <c r="G207" s="2" t="str">
        <f>Table1_1[[#This Row],[Country Name]]&amp;"|"&amp;Table1_1[[#This Row],[Series Name]]&amp;"|"&amp;Table1_1[[#This Row],[Years]]</f>
        <v>India|Inflation, consumer prices (annual %)|2023</v>
      </c>
    </row>
    <row r="208" spans="1:7" x14ac:dyDescent="0.3">
      <c r="A208" s="2" t="s">
        <v>52</v>
      </c>
      <c r="B208" s="2" t="s">
        <v>47</v>
      </c>
      <c r="C208" s="2" t="s">
        <v>79</v>
      </c>
      <c r="D208" s="2" t="s">
        <v>91</v>
      </c>
      <c r="E208" s="2" t="s">
        <v>166</v>
      </c>
      <c r="F208" s="2">
        <v>4.9530355097366057</v>
      </c>
      <c r="G208" s="2" t="str">
        <f>Table1_1[[#This Row],[Country Name]]&amp;"|"&amp;Table1_1[[#This Row],[Series Name]]&amp;"|"&amp;Table1_1[[#This Row],[Years]]</f>
        <v>India|Inflation, consumer prices (annual %)|2024</v>
      </c>
    </row>
    <row r="209" spans="1:7" x14ac:dyDescent="0.3">
      <c r="A209" s="2" t="s">
        <v>52</v>
      </c>
      <c r="B209" s="2" t="s">
        <v>47</v>
      </c>
      <c r="C209" s="2" t="s">
        <v>79</v>
      </c>
      <c r="D209" s="2" t="s">
        <v>91</v>
      </c>
      <c r="E209" s="2" t="s">
        <v>167</v>
      </c>
      <c r="F209" s="2">
        <v>2.3988495418229441</v>
      </c>
      <c r="G209" s="2" t="str">
        <f>Table1_1[[#This Row],[Country Name]]&amp;"|"&amp;Table1_1[[#This Row],[Series Name]]&amp;"|"&amp;Table1_1[[#This Row],[Years]]</f>
        <v>India|Inflation, consumer prices (annual %)|2025</v>
      </c>
    </row>
    <row r="210" spans="1:7" x14ac:dyDescent="0.3">
      <c r="A210" s="2" t="s">
        <v>52</v>
      </c>
      <c r="B210" s="2" t="s">
        <v>47</v>
      </c>
      <c r="C210" s="2" t="s">
        <v>146</v>
      </c>
      <c r="D210" s="2" t="s">
        <v>131</v>
      </c>
      <c r="E210" s="2" t="s">
        <v>152</v>
      </c>
      <c r="F210" s="2">
        <v>7.6310000000000002</v>
      </c>
      <c r="G210" s="2" t="str">
        <f>Table1_1[[#This Row],[Country Name]]&amp;"|"&amp;Table1_1[[#This Row],[Series Name]]&amp;"|"&amp;Table1_1[[#This Row],[Years]]</f>
        <v>India|Unemployment, total (% of total labor force) (modeled ILO estimate)|2010</v>
      </c>
    </row>
    <row r="211" spans="1:7" x14ac:dyDescent="0.3">
      <c r="A211" s="2" t="s">
        <v>52</v>
      </c>
      <c r="B211" s="2" t="s">
        <v>47</v>
      </c>
      <c r="C211" s="2" t="s">
        <v>146</v>
      </c>
      <c r="D211" s="2" t="s">
        <v>131</v>
      </c>
      <c r="E211" s="2" t="s">
        <v>153</v>
      </c>
      <c r="F211" s="2">
        <v>7.609</v>
      </c>
      <c r="G211" s="2" t="str">
        <f>Table1_1[[#This Row],[Country Name]]&amp;"|"&amp;Table1_1[[#This Row],[Series Name]]&amp;"|"&amp;Table1_1[[#This Row],[Years]]</f>
        <v>India|Unemployment, total (% of total labor force) (modeled ILO estimate)|2011</v>
      </c>
    </row>
    <row r="212" spans="1:7" x14ac:dyDescent="0.3">
      <c r="A212" s="2" t="s">
        <v>52</v>
      </c>
      <c r="B212" s="2" t="s">
        <v>47</v>
      </c>
      <c r="C212" s="2" t="s">
        <v>146</v>
      </c>
      <c r="D212" s="2" t="s">
        <v>131</v>
      </c>
      <c r="E212" s="2" t="s">
        <v>154</v>
      </c>
      <c r="F212" s="2">
        <v>7.6449999999999996</v>
      </c>
      <c r="G212" s="2" t="str">
        <f>Table1_1[[#This Row],[Country Name]]&amp;"|"&amp;Table1_1[[#This Row],[Series Name]]&amp;"|"&amp;Table1_1[[#This Row],[Years]]</f>
        <v>India|Unemployment, total (% of total labor force) (modeled ILO estimate)|2012</v>
      </c>
    </row>
    <row r="213" spans="1:7" x14ac:dyDescent="0.3">
      <c r="A213" s="2" t="s">
        <v>52</v>
      </c>
      <c r="B213" s="2" t="s">
        <v>47</v>
      </c>
      <c r="C213" s="2" t="s">
        <v>146</v>
      </c>
      <c r="D213" s="2" t="s">
        <v>131</v>
      </c>
      <c r="E213" s="2" t="s">
        <v>155</v>
      </c>
      <c r="F213" s="2">
        <v>7.6779999999999999</v>
      </c>
      <c r="G213" s="2" t="str">
        <f>Table1_1[[#This Row],[Country Name]]&amp;"|"&amp;Table1_1[[#This Row],[Series Name]]&amp;"|"&amp;Table1_1[[#This Row],[Years]]</f>
        <v>India|Unemployment, total (% of total labor force) (modeled ILO estimate)|2013</v>
      </c>
    </row>
    <row r="214" spans="1:7" x14ac:dyDescent="0.3">
      <c r="A214" s="2" t="s">
        <v>52</v>
      </c>
      <c r="B214" s="2" t="s">
        <v>47</v>
      </c>
      <c r="C214" s="2" t="s">
        <v>146</v>
      </c>
      <c r="D214" s="2" t="s">
        <v>131</v>
      </c>
      <c r="E214" s="2" t="s">
        <v>156</v>
      </c>
      <c r="F214" s="2">
        <v>7.6559999999999997</v>
      </c>
      <c r="G214" s="2" t="str">
        <f>Table1_1[[#This Row],[Country Name]]&amp;"|"&amp;Table1_1[[#This Row],[Series Name]]&amp;"|"&amp;Table1_1[[#This Row],[Years]]</f>
        <v>India|Unemployment, total (% of total labor force) (modeled ILO estimate)|2014</v>
      </c>
    </row>
    <row r="215" spans="1:7" x14ac:dyDescent="0.3">
      <c r="A215" s="2" t="s">
        <v>52</v>
      </c>
      <c r="B215" s="2" t="s">
        <v>47</v>
      </c>
      <c r="C215" s="2" t="s">
        <v>146</v>
      </c>
      <c r="D215" s="2" t="s">
        <v>131</v>
      </c>
      <c r="E215" s="2" t="s">
        <v>157</v>
      </c>
      <c r="F215" s="2">
        <v>7.6289999999999996</v>
      </c>
      <c r="G215" s="2" t="str">
        <f>Table1_1[[#This Row],[Country Name]]&amp;"|"&amp;Table1_1[[#This Row],[Series Name]]&amp;"|"&amp;Table1_1[[#This Row],[Years]]</f>
        <v>India|Unemployment, total (% of total labor force) (modeled ILO estimate)|2015</v>
      </c>
    </row>
    <row r="216" spans="1:7" x14ac:dyDescent="0.3">
      <c r="A216" s="2" t="s">
        <v>52</v>
      </c>
      <c r="B216" s="2" t="s">
        <v>47</v>
      </c>
      <c r="C216" s="2" t="s">
        <v>146</v>
      </c>
      <c r="D216" s="2" t="s">
        <v>131</v>
      </c>
      <c r="E216" s="2" t="s">
        <v>158</v>
      </c>
      <c r="F216" s="2">
        <v>7.6109999999999998</v>
      </c>
      <c r="G216" s="2" t="str">
        <f>Table1_1[[#This Row],[Country Name]]&amp;"|"&amp;Table1_1[[#This Row],[Series Name]]&amp;"|"&amp;Table1_1[[#This Row],[Years]]</f>
        <v>India|Unemployment, total (% of total labor force) (modeled ILO estimate)|2016</v>
      </c>
    </row>
    <row r="217" spans="1:7" x14ac:dyDescent="0.3">
      <c r="A217" s="2" t="s">
        <v>52</v>
      </c>
      <c r="B217" s="2" t="s">
        <v>47</v>
      </c>
      <c r="C217" s="2" t="s">
        <v>146</v>
      </c>
      <c r="D217" s="2" t="s">
        <v>131</v>
      </c>
      <c r="E217" s="2" t="s">
        <v>159</v>
      </c>
      <c r="F217" s="2">
        <v>7.6260000000000003</v>
      </c>
      <c r="G217" s="2" t="str">
        <f>Table1_1[[#This Row],[Country Name]]&amp;"|"&amp;Table1_1[[#This Row],[Series Name]]&amp;"|"&amp;Table1_1[[#This Row],[Years]]</f>
        <v>India|Unemployment, total (% of total labor force) (modeled ILO estimate)|2017</v>
      </c>
    </row>
    <row r="218" spans="1:7" x14ac:dyDescent="0.3">
      <c r="A218" s="2" t="s">
        <v>52</v>
      </c>
      <c r="B218" s="2" t="s">
        <v>47</v>
      </c>
      <c r="C218" s="2" t="s">
        <v>146</v>
      </c>
      <c r="D218" s="2" t="s">
        <v>131</v>
      </c>
      <c r="E218" s="2" t="s">
        <v>160</v>
      </c>
      <c r="F218" s="2">
        <v>7.6520000000000001</v>
      </c>
      <c r="G218" s="2" t="str">
        <f>Table1_1[[#This Row],[Country Name]]&amp;"|"&amp;Table1_1[[#This Row],[Series Name]]&amp;"|"&amp;Table1_1[[#This Row],[Years]]</f>
        <v>India|Unemployment, total (% of total labor force) (modeled ILO estimate)|2018</v>
      </c>
    </row>
    <row r="219" spans="1:7" x14ac:dyDescent="0.3">
      <c r="A219" s="2" t="s">
        <v>52</v>
      </c>
      <c r="B219" s="2" t="s">
        <v>47</v>
      </c>
      <c r="C219" s="2" t="s">
        <v>146</v>
      </c>
      <c r="D219" s="2" t="s">
        <v>131</v>
      </c>
      <c r="E219" s="2" t="s">
        <v>161</v>
      </c>
      <c r="F219" s="2">
        <v>6.51</v>
      </c>
      <c r="G219" s="2" t="str">
        <f>Table1_1[[#This Row],[Country Name]]&amp;"|"&amp;Table1_1[[#This Row],[Series Name]]&amp;"|"&amp;Table1_1[[#This Row],[Years]]</f>
        <v>India|Unemployment, total (% of total labor force) (modeled ILO estimate)|2019</v>
      </c>
    </row>
    <row r="220" spans="1:7" x14ac:dyDescent="0.3">
      <c r="A220" s="2" t="s">
        <v>52</v>
      </c>
      <c r="B220" s="2" t="s">
        <v>47</v>
      </c>
      <c r="C220" s="2" t="s">
        <v>146</v>
      </c>
      <c r="D220" s="2" t="s">
        <v>131</v>
      </c>
      <c r="E220" s="2" t="s">
        <v>162</v>
      </c>
      <c r="F220" s="2">
        <v>7.859</v>
      </c>
      <c r="G220" s="2" t="str">
        <f>Table1_1[[#This Row],[Country Name]]&amp;"|"&amp;Table1_1[[#This Row],[Series Name]]&amp;"|"&amp;Table1_1[[#This Row],[Years]]</f>
        <v>India|Unemployment, total (% of total labor force) (modeled ILO estimate)|2020</v>
      </c>
    </row>
    <row r="221" spans="1:7" x14ac:dyDescent="0.3">
      <c r="A221" s="2" t="s">
        <v>52</v>
      </c>
      <c r="B221" s="2" t="s">
        <v>47</v>
      </c>
      <c r="C221" s="2" t="s">
        <v>146</v>
      </c>
      <c r="D221" s="2" t="s">
        <v>131</v>
      </c>
      <c r="E221" s="2" t="s">
        <v>163</v>
      </c>
      <c r="F221" s="2">
        <v>6.38</v>
      </c>
      <c r="G221" s="2" t="str">
        <f>Table1_1[[#This Row],[Country Name]]&amp;"|"&amp;Table1_1[[#This Row],[Series Name]]&amp;"|"&amp;Table1_1[[#This Row],[Years]]</f>
        <v>India|Unemployment, total (% of total labor force) (modeled ILO estimate)|2021</v>
      </c>
    </row>
    <row r="222" spans="1:7" x14ac:dyDescent="0.3">
      <c r="A222" s="2" t="s">
        <v>52</v>
      </c>
      <c r="B222" s="2" t="s">
        <v>47</v>
      </c>
      <c r="C222" s="2" t="s">
        <v>146</v>
      </c>
      <c r="D222" s="2" t="s">
        <v>131</v>
      </c>
      <c r="E222" s="2" t="s">
        <v>164</v>
      </c>
      <c r="F222" s="2">
        <v>4.8220000000000001</v>
      </c>
      <c r="G222" s="2" t="str">
        <f>Table1_1[[#This Row],[Country Name]]&amp;"|"&amp;Table1_1[[#This Row],[Series Name]]&amp;"|"&amp;Table1_1[[#This Row],[Years]]</f>
        <v>India|Unemployment, total (% of total labor force) (modeled ILO estimate)|2022</v>
      </c>
    </row>
    <row r="223" spans="1:7" x14ac:dyDescent="0.3">
      <c r="A223" s="2" t="s">
        <v>52</v>
      </c>
      <c r="B223" s="2" t="s">
        <v>47</v>
      </c>
      <c r="C223" s="2" t="s">
        <v>146</v>
      </c>
      <c r="D223" s="2" t="s">
        <v>131</v>
      </c>
      <c r="E223" s="2" t="s">
        <v>165</v>
      </c>
      <c r="F223" s="2">
        <v>4.1719999999999997</v>
      </c>
      <c r="G223" s="2" t="str">
        <f>Table1_1[[#This Row],[Country Name]]&amp;"|"&amp;Table1_1[[#This Row],[Series Name]]&amp;"|"&amp;Table1_1[[#This Row],[Years]]</f>
        <v>India|Unemployment, total (% of total labor force) (modeled ILO estimate)|2023</v>
      </c>
    </row>
    <row r="224" spans="1:7" x14ac:dyDescent="0.3">
      <c r="A224" s="2" t="s">
        <v>52</v>
      </c>
      <c r="B224" s="2" t="s">
        <v>47</v>
      </c>
      <c r="C224" s="2" t="s">
        <v>146</v>
      </c>
      <c r="D224" s="2" t="s">
        <v>131</v>
      </c>
      <c r="E224" s="2" t="s">
        <v>166</v>
      </c>
      <c r="F224" s="2">
        <v>4.173</v>
      </c>
      <c r="G224" s="2" t="str">
        <f>Table1_1[[#This Row],[Country Name]]&amp;"|"&amp;Table1_1[[#This Row],[Series Name]]&amp;"|"&amp;Table1_1[[#This Row],[Years]]</f>
        <v>India|Unemployment, total (% of total labor force) (modeled ILO estimate)|2024</v>
      </c>
    </row>
    <row r="225" spans="1:7" x14ac:dyDescent="0.3">
      <c r="A225" s="2" t="s">
        <v>52</v>
      </c>
      <c r="B225" s="2" t="s">
        <v>47</v>
      </c>
      <c r="C225" s="2" t="s">
        <v>146</v>
      </c>
      <c r="D225" s="2" t="s">
        <v>131</v>
      </c>
      <c r="E225" s="2" t="s">
        <v>167</v>
      </c>
      <c r="F225" s="2">
        <v>4.2190000000000003</v>
      </c>
      <c r="G225" s="2" t="str">
        <f>Table1_1[[#This Row],[Country Name]]&amp;"|"&amp;Table1_1[[#This Row],[Series Name]]&amp;"|"&amp;Table1_1[[#This Row],[Years]]</f>
        <v>India|Unemployment, total (% of total labor force) (modeled ILO estimate)|2025</v>
      </c>
    </row>
    <row r="226" spans="1:7" x14ac:dyDescent="0.3">
      <c r="A226" s="2" t="s">
        <v>52</v>
      </c>
      <c r="B226" s="2" t="s">
        <v>47</v>
      </c>
      <c r="C226" s="2" t="s">
        <v>34</v>
      </c>
      <c r="D226" s="2" t="s">
        <v>17</v>
      </c>
      <c r="E226" s="2" t="s">
        <v>152</v>
      </c>
      <c r="F226" s="2">
        <v>8.3333499999999994</v>
      </c>
      <c r="G226" s="2" t="str">
        <f>Table1_1[[#This Row],[Country Name]]&amp;"|"&amp;Table1_1[[#This Row],[Series Name]]&amp;"|"&amp;Table1_1[[#This Row],[Years]]</f>
        <v>India|Lending interest rate (%)|2010</v>
      </c>
    </row>
    <row r="227" spans="1:7" x14ac:dyDescent="0.3">
      <c r="A227" s="2" t="s">
        <v>52</v>
      </c>
      <c r="B227" s="2" t="s">
        <v>47</v>
      </c>
      <c r="C227" s="2" t="s">
        <v>34</v>
      </c>
      <c r="D227" s="2" t="s">
        <v>17</v>
      </c>
      <c r="E227" s="2" t="s">
        <v>153</v>
      </c>
      <c r="F227" s="2">
        <v>10.1666666666667</v>
      </c>
      <c r="G227" s="2" t="str">
        <f>Table1_1[[#This Row],[Country Name]]&amp;"|"&amp;Table1_1[[#This Row],[Series Name]]&amp;"|"&amp;Table1_1[[#This Row],[Years]]</f>
        <v>India|Lending interest rate (%)|2011</v>
      </c>
    </row>
    <row r="228" spans="1:7" x14ac:dyDescent="0.3">
      <c r="A228" s="2" t="s">
        <v>52</v>
      </c>
      <c r="B228" s="2" t="s">
        <v>47</v>
      </c>
      <c r="C228" s="2" t="s">
        <v>34</v>
      </c>
      <c r="D228" s="2" t="s">
        <v>17</v>
      </c>
      <c r="E228" s="2" t="s">
        <v>154</v>
      </c>
      <c r="F228" s="2">
        <v>10.6041666666667</v>
      </c>
      <c r="G228" s="2" t="str">
        <f>Table1_1[[#This Row],[Country Name]]&amp;"|"&amp;Table1_1[[#This Row],[Series Name]]&amp;"|"&amp;Table1_1[[#This Row],[Years]]</f>
        <v>India|Lending interest rate (%)|2012</v>
      </c>
    </row>
    <row r="229" spans="1:7" x14ac:dyDescent="0.3">
      <c r="A229" s="2" t="s">
        <v>52</v>
      </c>
      <c r="B229" s="2" t="s">
        <v>47</v>
      </c>
      <c r="C229" s="2" t="s">
        <v>34</v>
      </c>
      <c r="D229" s="2" t="s">
        <v>17</v>
      </c>
      <c r="E229" s="2" t="s">
        <v>155</v>
      </c>
      <c r="F229" s="2">
        <v>10.2916666666667</v>
      </c>
      <c r="G229" s="2" t="str">
        <f>Table1_1[[#This Row],[Country Name]]&amp;"|"&amp;Table1_1[[#This Row],[Series Name]]&amp;"|"&amp;Table1_1[[#This Row],[Years]]</f>
        <v>India|Lending interest rate (%)|2013</v>
      </c>
    </row>
    <row r="230" spans="1:7" x14ac:dyDescent="0.3">
      <c r="A230" s="2" t="s">
        <v>52</v>
      </c>
      <c r="B230" s="2" t="s">
        <v>47</v>
      </c>
      <c r="C230" s="2" t="s">
        <v>34</v>
      </c>
      <c r="D230" s="2" t="s">
        <v>17</v>
      </c>
      <c r="E230" s="2" t="s">
        <v>156</v>
      </c>
      <c r="F230" s="2">
        <v>10.25</v>
      </c>
      <c r="G230" s="2" t="str">
        <f>Table1_1[[#This Row],[Country Name]]&amp;"|"&amp;Table1_1[[#This Row],[Series Name]]&amp;"|"&amp;Table1_1[[#This Row],[Years]]</f>
        <v>India|Lending interest rate (%)|2014</v>
      </c>
    </row>
    <row r="231" spans="1:7" x14ac:dyDescent="0.3">
      <c r="A231" s="2" t="s">
        <v>52</v>
      </c>
      <c r="B231" s="2" t="s">
        <v>47</v>
      </c>
      <c r="C231" s="2" t="s">
        <v>34</v>
      </c>
      <c r="D231" s="2" t="s">
        <v>17</v>
      </c>
      <c r="E231" s="2" t="s">
        <v>157</v>
      </c>
      <c r="F231" s="2">
        <v>10.008333333333301</v>
      </c>
      <c r="G231" s="2" t="str">
        <f>Table1_1[[#This Row],[Country Name]]&amp;"|"&amp;Table1_1[[#This Row],[Series Name]]&amp;"|"&amp;Table1_1[[#This Row],[Years]]</f>
        <v>India|Lending interest rate (%)|2015</v>
      </c>
    </row>
    <row r="232" spans="1:7" x14ac:dyDescent="0.3">
      <c r="A232" s="2" t="s">
        <v>52</v>
      </c>
      <c r="B232" s="2" t="s">
        <v>47</v>
      </c>
      <c r="C232" s="2" t="s">
        <v>34</v>
      </c>
      <c r="D232" s="2" t="s">
        <v>17</v>
      </c>
      <c r="E232" s="2" t="s">
        <v>158</v>
      </c>
      <c r="F232" s="2">
        <v>9.6724999999999994</v>
      </c>
      <c r="G232" s="2" t="str">
        <f>Table1_1[[#This Row],[Country Name]]&amp;"|"&amp;Table1_1[[#This Row],[Series Name]]&amp;"|"&amp;Table1_1[[#This Row],[Years]]</f>
        <v>India|Lending interest rate (%)|2016</v>
      </c>
    </row>
    <row r="233" spans="1:7" x14ac:dyDescent="0.3">
      <c r="A233" s="2" t="s">
        <v>52</v>
      </c>
      <c r="B233" s="2" t="s">
        <v>47</v>
      </c>
      <c r="C233" s="2" t="s">
        <v>34</v>
      </c>
      <c r="D233" s="2" t="s">
        <v>17</v>
      </c>
      <c r="E233" s="2" t="s">
        <v>159</v>
      </c>
      <c r="F233" s="2">
        <v>9.5083333333333293</v>
      </c>
      <c r="G233" s="2" t="str">
        <f>Table1_1[[#This Row],[Country Name]]&amp;"|"&amp;Table1_1[[#This Row],[Series Name]]&amp;"|"&amp;Table1_1[[#This Row],[Years]]</f>
        <v>India|Lending interest rate (%)|2017</v>
      </c>
    </row>
    <row r="234" spans="1:7" x14ac:dyDescent="0.3">
      <c r="A234" s="2" t="s">
        <v>52</v>
      </c>
      <c r="B234" s="2" t="s">
        <v>47</v>
      </c>
      <c r="C234" s="2" t="s">
        <v>34</v>
      </c>
      <c r="D234" s="2" t="s">
        <v>17</v>
      </c>
      <c r="E234" s="2" t="s">
        <v>160</v>
      </c>
      <c r="F234" s="2">
        <v>9.4541666666666693</v>
      </c>
      <c r="G234" s="2" t="str">
        <f>Table1_1[[#This Row],[Country Name]]&amp;"|"&amp;Table1_1[[#This Row],[Series Name]]&amp;"|"&amp;Table1_1[[#This Row],[Years]]</f>
        <v>India|Lending interest rate (%)|2018</v>
      </c>
    </row>
    <row r="235" spans="1:7" x14ac:dyDescent="0.3">
      <c r="A235" s="2" t="s">
        <v>52</v>
      </c>
      <c r="B235" s="2" t="s">
        <v>47</v>
      </c>
      <c r="C235" s="2" t="s">
        <v>34</v>
      </c>
      <c r="D235" s="2" t="s">
        <v>17</v>
      </c>
      <c r="E235" s="2" t="s">
        <v>161</v>
      </c>
      <c r="F235" s="2">
        <v>9.4662500000000005</v>
      </c>
      <c r="G235" s="2" t="str">
        <f>Table1_1[[#This Row],[Country Name]]&amp;"|"&amp;Table1_1[[#This Row],[Series Name]]&amp;"|"&amp;Table1_1[[#This Row],[Years]]</f>
        <v>India|Lending interest rate (%)|2019</v>
      </c>
    </row>
    <row r="236" spans="1:7" x14ac:dyDescent="0.3">
      <c r="A236" s="2" t="s">
        <v>52</v>
      </c>
      <c r="B236" s="2" t="s">
        <v>47</v>
      </c>
      <c r="C236" s="2" t="s">
        <v>34</v>
      </c>
      <c r="D236" s="2" t="s">
        <v>17</v>
      </c>
      <c r="E236" s="2" t="s">
        <v>162</v>
      </c>
      <c r="F236" s="2">
        <v>9.15</v>
      </c>
      <c r="G236" s="2" t="str">
        <f>Table1_1[[#This Row],[Country Name]]&amp;"|"&amp;Table1_1[[#This Row],[Series Name]]&amp;"|"&amp;Table1_1[[#This Row],[Years]]</f>
        <v>India|Lending interest rate (%)|2020</v>
      </c>
    </row>
    <row r="237" spans="1:7" x14ac:dyDescent="0.3">
      <c r="A237" s="2" t="s">
        <v>52</v>
      </c>
      <c r="B237" s="2" t="s">
        <v>47</v>
      </c>
      <c r="C237" s="2" t="s">
        <v>34</v>
      </c>
      <c r="D237" s="2" t="s">
        <v>17</v>
      </c>
      <c r="E237" s="2" t="s">
        <v>163</v>
      </c>
      <c r="F237" s="2">
        <v>8.6983333333333306</v>
      </c>
      <c r="G237" s="2" t="str">
        <f>Table1_1[[#This Row],[Country Name]]&amp;"|"&amp;Table1_1[[#This Row],[Series Name]]&amp;"|"&amp;Table1_1[[#This Row],[Years]]</f>
        <v>India|Lending interest rate (%)|2021</v>
      </c>
    </row>
    <row r="238" spans="1:7" x14ac:dyDescent="0.3">
      <c r="A238" s="2" t="s">
        <v>52</v>
      </c>
      <c r="B238" s="2" t="s">
        <v>47</v>
      </c>
      <c r="C238" s="2" t="s">
        <v>34</v>
      </c>
      <c r="D238" s="2" t="s">
        <v>17</v>
      </c>
      <c r="E238" s="2" t="s">
        <v>164</v>
      </c>
      <c r="F238" s="2">
        <v>8.5671428571428603</v>
      </c>
      <c r="G238" s="2" t="str">
        <f>Table1_1[[#This Row],[Country Name]]&amp;"|"&amp;Table1_1[[#This Row],[Series Name]]&amp;"|"&amp;Table1_1[[#This Row],[Years]]</f>
        <v>India|Lending interest rate (%)|2022</v>
      </c>
    </row>
    <row r="239" spans="1:7" x14ac:dyDescent="0.3">
      <c r="A239" s="2" t="s">
        <v>52</v>
      </c>
      <c r="B239" s="2" t="s">
        <v>47</v>
      </c>
      <c r="C239" s="2" t="s">
        <v>34</v>
      </c>
      <c r="D239" s="2" t="s">
        <v>17</v>
      </c>
      <c r="E239" s="2" t="s">
        <v>165</v>
      </c>
      <c r="G239" s="2" t="str">
        <f>Table1_1[[#This Row],[Country Name]]&amp;"|"&amp;Table1_1[[#This Row],[Series Name]]&amp;"|"&amp;Table1_1[[#This Row],[Years]]</f>
        <v>India|Lending interest rate (%)|2023</v>
      </c>
    </row>
    <row r="240" spans="1:7" x14ac:dyDescent="0.3">
      <c r="A240" s="2" t="s">
        <v>52</v>
      </c>
      <c r="B240" s="2" t="s">
        <v>47</v>
      </c>
      <c r="C240" s="2" t="s">
        <v>34</v>
      </c>
      <c r="D240" s="2" t="s">
        <v>17</v>
      </c>
      <c r="E240" s="2" t="s">
        <v>166</v>
      </c>
      <c r="G240" s="2" t="str">
        <f>Table1_1[[#This Row],[Country Name]]&amp;"|"&amp;Table1_1[[#This Row],[Series Name]]&amp;"|"&amp;Table1_1[[#This Row],[Years]]</f>
        <v>India|Lending interest rate (%)|2024</v>
      </c>
    </row>
    <row r="241" spans="1:7" x14ac:dyDescent="0.3">
      <c r="A241" s="2" t="s">
        <v>52</v>
      </c>
      <c r="B241" s="2" t="s">
        <v>47</v>
      </c>
      <c r="C241" s="2" t="s">
        <v>34</v>
      </c>
      <c r="D241" s="2" t="s">
        <v>17</v>
      </c>
      <c r="E241" s="2" t="s">
        <v>167</v>
      </c>
      <c r="G241" s="2" t="str">
        <f>Table1_1[[#This Row],[Country Name]]&amp;"|"&amp;Table1_1[[#This Row],[Series Name]]&amp;"|"&amp;Table1_1[[#This Row],[Years]]</f>
        <v>India|Lending interest rate (%)|2025</v>
      </c>
    </row>
    <row r="242" spans="1:7" x14ac:dyDescent="0.3">
      <c r="A242" s="2" t="s">
        <v>52</v>
      </c>
      <c r="B242" s="2" t="s">
        <v>47</v>
      </c>
      <c r="C242" s="2" t="s">
        <v>83</v>
      </c>
      <c r="D242" s="2" t="s">
        <v>72</v>
      </c>
      <c r="E242" s="2" t="s">
        <v>152</v>
      </c>
      <c r="F242" s="2">
        <v>45.725812121212122</v>
      </c>
      <c r="G242" s="2" t="str">
        <f>Table1_1[[#This Row],[Country Name]]&amp;"|"&amp;Table1_1[[#This Row],[Series Name]]&amp;"|"&amp;Table1_1[[#This Row],[Years]]</f>
        <v>India|Official exchange rate (LCU per US$, period average)|2010</v>
      </c>
    </row>
    <row r="243" spans="1:7" x14ac:dyDescent="0.3">
      <c r="A243" s="2" t="s">
        <v>52</v>
      </c>
      <c r="B243" s="2" t="s">
        <v>47</v>
      </c>
      <c r="C243" s="2" t="s">
        <v>83</v>
      </c>
      <c r="D243" s="2" t="s">
        <v>72</v>
      </c>
      <c r="E243" s="2" t="s">
        <v>153</v>
      </c>
      <c r="F243" s="2">
        <v>46.670466666666677</v>
      </c>
      <c r="G243" s="2" t="str">
        <f>Table1_1[[#This Row],[Country Name]]&amp;"|"&amp;Table1_1[[#This Row],[Series Name]]&amp;"|"&amp;Table1_1[[#This Row],[Years]]</f>
        <v>India|Official exchange rate (LCU per US$, period average)|2011</v>
      </c>
    </row>
    <row r="244" spans="1:7" x14ac:dyDescent="0.3">
      <c r="A244" s="2" t="s">
        <v>52</v>
      </c>
      <c r="B244" s="2" t="s">
        <v>47</v>
      </c>
      <c r="C244" s="2" t="s">
        <v>83</v>
      </c>
      <c r="D244" s="2" t="s">
        <v>72</v>
      </c>
      <c r="E244" s="2" t="s">
        <v>154</v>
      </c>
      <c r="F244" s="2">
        <v>53.437233333333317</v>
      </c>
      <c r="G244" s="2" t="str">
        <f>Table1_1[[#This Row],[Country Name]]&amp;"|"&amp;Table1_1[[#This Row],[Series Name]]&amp;"|"&amp;Table1_1[[#This Row],[Years]]</f>
        <v>India|Official exchange rate (LCU per US$, period average)|2012</v>
      </c>
    </row>
    <row r="245" spans="1:7" x14ac:dyDescent="0.3">
      <c r="A245" s="2" t="s">
        <v>52</v>
      </c>
      <c r="B245" s="2" t="s">
        <v>47</v>
      </c>
      <c r="C245" s="2" t="s">
        <v>83</v>
      </c>
      <c r="D245" s="2" t="s">
        <v>72</v>
      </c>
      <c r="E245" s="2" t="s">
        <v>155</v>
      </c>
      <c r="F245" s="2">
        <v>58.597845416666679</v>
      </c>
      <c r="G245" s="2" t="str">
        <f>Table1_1[[#This Row],[Country Name]]&amp;"|"&amp;Table1_1[[#This Row],[Series Name]]&amp;"|"&amp;Table1_1[[#This Row],[Years]]</f>
        <v>India|Official exchange rate (LCU per US$, period average)|2013</v>
      </c>
    </row>
    <row r="246" spans="1:7" x14ac:dyDescent="0.3">
      <c r="A246" s="2" t="s">
        <v>52</v>
      </c>
      <c r="B246" s="2" t="s">
        <v>47</v>
      </c>
      <c r="C246" s="2" t="s">
        <v>83</v>
      </c>
      <c r="D246" s="2" t="s">
        <v>72</v>
      </c>
      <c r="E246" s="2" t="s">
        <v>156</v>
      </c>
      <c r="F246" s="2">
        <v>61.029514460784299</v>
      </c>
      <c r="G246" s="2" t="str">
        <f>Table1_1[[#This Row],[Country Name]]&amp;"|"&amp;Table1_1[[#This Row],[Series Name]]&amp;"|"&amp;Table1_1[[#This Row],[Years]]</f>
        <v>India|Official exchange rate (LCU per US$, period average)|2014</v>
      </c>
    </row>
    <row r="247" spans="1:7" x14ac:dyDescent="0.3">
      <c r="A247" s="2" t="s">
        <v>52</v>
      </c>
      <c r="B247" s="2" t="s">
        <v>47</v>
      </c>
      <c r="C247" s="2" t="s">
        <v>83</v>
      </c>
      <c r="D247" s="2" t="s">
        <v>72</v>
      </c>
      <c r="E247" s="2" t="s">
        <v>157</v>
      </c>
      <c r="F247" s="2">
        <v>64.151944463278596</v>
      </c>
      <c r="G247" s="2" t="str">
        <f>Table1_1[[#This Row],[Country Name]]&amp;"|"&amp;Table1_1[[#This Row],[Series Name]]&amp;"|"&amp;Table1_1[[#This Row],[Years]]</f>
        <v>India|Official exchange rate (LCU per US$, period average)|2015</v>
      </c>
    </row>
    <row r="248" spans="1:7" x14ac:dyDescent="0.3">
      <c r="A248" s="2" t="s">
        <v>52</v>
      </c>
      <c r="B248" s="2" t="s">
        <v>47</v>
      </c>
      <c r="C248" s="2" t="s">
        <v>83</v>
      </c>
      <c r="D248" s="2" t="s">
        <v>72</v>
      </c>
      <c r="E248" s="2" t="s">
        <v>158</v>
      </c>
      <c r="F248" s="2">
        <v>67.195312807389385</v>
      </c>
      <c r="G248" s="2" t="str">
        <f>Table1_1[[#This Row],[Country Name]]&amp;"|"&amp;Table1_1[[#This Row],[Series Name]]&amp;"|"&amp;Table1_1[[#This Row],[Years]]</f>
        <v>India|Official exchange rate (LCU per US$, period average)|2016</v>
      </c>
    </row>
    <row r="249" spans="1:7" x14ac:dyDescent="0.3">
      <c r="A249" s="2" t="s">
        <v>52</v>
      </c>
      <c r="B249" s="2" t="s">
        <v>47</v>
      </c>
      <c r="C249" s="2" t="s">
        <v>83</v>
      </c>
      <c r="D249" s="2" t="s">
        <v>72</v>
      </c>
      <c r="E249" s="2" t="s">
        <v>159</v>
      </c>
      <c r="F249" s="2">
        <v>65.121568645065949</v>
      </c>
      <c r="G249" s="2" t="str">
        <f>Table1_1[[#This Row],[Country Name]]&amp;"|"&amp;Table1_1[[#This Row],[Series Name]]&amp;"|"&amp;Table1_1[[#This Row],[Years]]</f>
        <v>India|Official exchange rate (LCU per US$, period average)|2017</v>
      </c>
    </row>
    <row r="250" spans="1:7" x14ac:dyDescent="0.3">
      <c r="A250" s="2" t="s">
        <v>52</v>
      </c>
      <c r="B250" s="2" t="s">
        <v>47</v>
      </c>
      <c r="C250" s="2" t="s">
        <v>83</v>
      </c>
      <c r="D250" s="2" t="s">
        <v>72</v>
      </c>
      <c r="E250" s="2" t="s">
        <v>160</v>
      </c>
      <c r="F250" s="2">
        <v>68.389467093542152</v>
      </c>
      <c r="G250" s="2" t="str">
        <f>Table1_1[[#This Row],[Country Name]]&amp;"|"&amp;Table1_1[[#This Row],[Series Name]]&amp;"|"&amp;Table1_1[[#This Row],[Years]]</f>
        <v>India|Official exchange rate (LCU per US$, period average)|2018</v>
      </c>
    </row>
    <row r="251" spans="1:7" x14ac:dyDescent="0.3">
      <c r="A251" s="2" t="s">
        <v>52</v>
      </c>
      <c r="B251" s="2" t="s">
        <v>47</v>
      </c>
      <c r="C251" s="2" t="s">
        <v>83</v>
      </c>
      <c r="D251" s="2" t="s">
        <v>72</v>
      </c>
      <c r="E251" s="2" t="s">
        <v>161</v>
      </c>
      <c r="F251" s="2">
        <v>70.420340535955077</v>
      </c>
      <c r="G251" s="2" t="str">
        <f>Table1_1[[#This Row],[Country Name]]&amp;"|"&amp;Table1_1[[#This Row],[Series Name]]&amp;"|"&amp;Table1_1[[#This Row],[Years]]</f>
        <v>India|Official exchange rate (LCU per US$, period average)|2019</v>
      </c>
    </row>
    <row r="252" spans="1:7" x14ac:dyDescent="0.3">
      <c r="A252" s="2" t="s">
        <v>52</v>
      </c>
      <c r="B252" s="2" t="s">
        <v>47</v>
      </c>
      <c r="C252" s="2" t="s">
        <v>83</v>
      </c>
      <c r="D252" s="2" t="s">
        <v>72</v>
      </c>
      <c r="E252" s="2" t="s">
        <v>162</v>
      </c>
      <c r="F252" s="2">
        <v>74.099566883605249</v>
      </c>
      <c r="G252" s="2" t="str">
        <f>Table1_1[[#This Row],[Country Name]]&amp;"|"&amp;Table1_1[[#This Row],[Series Name]]&amp;"|"&amp;Table1_1[[#This Row],[Years]]</f>
        <v>India|Official exchange rate (LCU per US$, period average)|2020</v>
      </c>
    </row>
    <row r="253" spans="1:7" x14ac:dyDescent="0.3">
      <c r="A253" s="2" t="s">
        <v>52</v>
      </c>
      <c r="B253" s="2" t="s">
        <v>47</v>
      </c>
      <c r="C253" s="2" t="s">
        <v>83</v>
      </c>
      <c r="D253" s="2" t="s">
        <v>72</v>
      </c>
      <c r="E253" s="2" t="s">
        <v>163</v>
      </c>
      <c r="F253" s="2">
        <v>73.918012815435119</v>
      </c>
      <c r="G253" s="2" t="str">
        <f>Table1_1[[#This Row],[Country Name]]&amp;"|"&amp;Table1_1[[#This Row],[Series Name]]&amp;"|"&amp;Table1_1[[#This Row],[Years]]</f>
        <v>India|Official exchange rate (LCU per US$, period average)|2021</v>
      </c>
    </row>
    <row r="254" spans="1:7" x14ac:dyDescent="0.3">
      <c r="A254" s="2" t="s">
        <v>52</v>
      </c>
      <c r="B254" s="2" t="s">
        <v>47</v>
      </c>
      <c r="C254" s="2" t="s">
        <v>83</v>
      </c>
      <c r="D254" s="2" t="s">
        <v>72</v>
      </c>
      <c r="E254" s="2" t="s">
        <v>164</v>
      </c>
      <c r="F254" s="2">
        <v>78.604490582991573</v>
      </c>
      <c r="G254" s="2" t="str">
        <f>Table1_1[[#This Row],[Country Name]]&amp;"|"&amp;Table1_1[[#This Row],[Series Name]]&amp;"|"&amp;Table1_1[[#This Row],[Years]]</f>
        <v>India|Official exchange rate (LCU per US$, period average)|2022</v>
      </c>
    </row>
    <row r="255" spans="1:7" x14ac:dyDescent="0.3">
      <c r="A255" s="2" t="s">
        <v>52</v>
      </c>
      <c r="B255" s="2" t="s">
        <v>47</v>
      </c>
      <c r="C255" s="2" t="s">
        <v>83</v>
      </c>
      <c r="D255" s="2" t="s">
        <v>72</v>
      </c>
      <c r="E255" s="2" t="s">
        <v>165</v>
      </c>
      <c r="F255" s="2">
        <v>82.599276446078449</v>
      </c>
      <c r="G255" s="2" t="str">
        <f>Table1_1[[#This Row],[Country Name]]&amp;"|"&amp;Table1_1[[#This Row],[Series Name]]&amp;"|"&amp;Table1_1[[#This Row],[Years]]</f>
        <v>India|Official exchange rate (LCU per US$, period average)|2023</v>
      </c>
    </row>
    <row r="256" spans="1:7" x14ac:dyDescent="0.3">
      <c r="A256" s="2" t="s">
        <v>52</v>
      </c>
      <c r="B256" s="2" t="s">
        <v>47</v>
      </c>
      <c r="C256" s="2" t="s">
        <v>83</v>
      </c>
      <c r="D256" s="2" t="s">
        <v>72</v>
      </c>
      <c r="E256" s="2" t="s">
        <v>166</v>
      </c>
      <c r="F256" s="2">
        <v>83.669281580941004</v>
      </c>
      <c r="G256" s="2" t="str">
        <f>Table1_1[[#This Row],[Country Name]]&amp;"|"&amp;Table1_1[[#This Row],[Series Name]]&amp;"|"&amp;Table1_1[[#This Row],[Years]]</f>
        <v>India|Official exchange rate (LCU per US$, period average)|2024</v>
      </c>
    </row>
    <row r="257" spans="1:7" x14ac:dyDescent="0.3">
      <c r="A257" s="2" t="s">
        <v>52</v>
      </c>
      <c r="B257" s="2" t="s">
        <v>47</v>
      </c>
      <c r="C257" s="2" t="s">
        <v>83</v>
      </c>
      <c r="D257" s="2" t="s">
        <v>72</v>
      </c>
      <c r="E257" s="2" t="s">
        <v>167</v>
      </c>
      <c r="F257" s="2">
        <v>87.15844835073932</v>
      </c>
      <c r="G257" s="2" t="str">
        <f>Table1_1[[#This Row],[Country Name]]&amp;"|"&amp;Table1_1[[#This Row],[Series Name]]&amp;"|"&amp;Table1_1[[#This Row],[Years]]</f>
        <v>India|Official exchange rate (LCU per US$, period average)|2025</v>
      </c>
    </row>
    <row r="258" spans="1:7" x14ac:dyDescent="0.3">
      <c r="A258" s="2" t="s">
        <v>52</v>
      </c>
      <c r="B258" s="2" t="s">
        <v>47</v>
      </c>
      <c r="C258" s="2" t="s">
        <v>70</v>
      </c>
      <c r="D258" s="2" t="s">
        <v>147</v>
      </c>
      <c r="E258" s="2" t="s">
        <v>152</v>
      </c>
      <c r="F258" s="2">
        <v>22.400933248794491</v>
      </c>
      <c r="G258" s="2" t="str">
        <f>Table1_1[[#This Row],[Country Name]]&amp;"|"&amp;Table1_1[[#This Row],[Series Name]]&amp;"|"&amp;Table1_1[[#This Row],[Years]]</f>
        <v>India|Exports of goods and services (% of GDP)|2010</v>
      </c>
    </row>
    <row r="259" spans="1:7" x14ac:dyDescent="0.3">
      <c r="A259" s="2" t="s">
        <v>52</v>
      </c>
      <c r="B259" s="2" t="s">
        <v>47</v>
      </c>
      <c r="C259" s="2" t="s">
        <v>70</v>
      </c>
      <c r="D259" s="2" t="s">
        <v>147</v>
      </c>
      <c r="E259" s="2" t="s">
        <v>153</v>
      </c>
      <c r="F259" s="2">
        <v>24.540411319571291</v>
      </c>
      <c r="G259" s="2" t="str">
        <f>Table1_1[[#This Row],[Country Name]]&amp;"|"&amp;Table1_1[[#This Row],[Series Name]]&amp;"|"&amp;Table1_1[[#This Row],[Years]]</f>
        <v>India|Exports of goods and services (% of GDP)|2011</v>
      </c>
    </row>
    <row r="260" spans="1:7" x14ac:dyDescent="0.3">
      <c r="A260" s="2" t="s">
        <v>52</v>
      </c>
      <c r="B260" s="2" t="s">
        <v>47</v>
      </c>
      <c r="C260" s="2" t="s">
        <v>70</v>
      </c>
      <c r="D260" s="2" t="s">
        <v>147</v>
      </c>
      <c r="E260" s="2" t="s">
        <v>154</v>
      </c>
      <c r="F260" s="2">
        <v>24.534430661417986</v>
      </c>
      <c r="G260" s="2" t="str">
        <f>Table1_1[[#This Row],[Country Name]]&amp;"|"&amp;Table1_1[[#This Row],[Series Name]]&amp;"|"&amp;Table1_1[[#This Row],[Years]]</f>
        <v>India|Exports of goods and services (% of GDP)|2012</v>
      </c>
    </row>
    <row r="261" spans="1:7" x14ac:dyDescent="0.3">
      <c r="A261" s="2" t="s">
        <v>52</v>
      </c>
      <c r="B261" s="2" t="s">
        <v>47</v>
      </c>
      <c r="C261" s="2" t="s">
        <v>70</v>
      </c>
      <c r="D261" s="2" t="s">
        <v>147</v>
      </c>
      <c r="E261" s="2" t="s">
        <v>155</v>
      </c>
      <c r="F261" s="2">
        <v>25.430861300519041</v>
      </c>
      <c r="G261" s="2" t="str">
        <f>Table1_1[[#This Row],[Country Name]]&amp;"|"&amp;Table1_1[[#This Row],[Series Name]]&amp;"|"&amp;Table1_1[[#This Row],[Years]]</f>
        <v>India|Exports of goods and services (% of GDP)|2013</v>
      </c>
    </row>
    <row r="262" spans="1:7" x14ac:dyDescent="0.3">
      <c r="A262" s="2" t="s">
        <v>52</v>
      </c>
      <c r="B262" s="2" t="s">
        <v>47</v>
      </c>
      <c r="C262" s="2" t="s">
        <v>70</v>
      </c>
      <c r="D262" s="2" t="s">
        <v>147</v>
      </c>
      <c r="E262" s="2" t="s">
        <v>156</v>
      </c>
      <c r="F262" s="2">
        <v>22.967963008117241</v>
      </c>
      <c r="G262" s="2" t="str">
        <f>Table1_1[[#This Row],[Country Name]]&amp;"|"&amp;Table1_1[[#This Row],[Series Name]]&amp;"|"&amp;Table1_1[[#This Row],[Years]]</f>
        <v>India|Exports of goods and services (% of GDP)|2014</v>
      </c>
    </row>
    <row r="263" spans="1:7" x14ac:dyDescent="0.3">
      <c r="A263" s="2" t="s">
        <v>52</v>
      </c>
      <c r="B263" s="2" t="s">
        <v>47</v>
      </c>
      <c r="C263" s="2" t="s">
        <v>70</v>
      </c>
      <c r="D263" s="2" t="s">
        <v>147</v>
      </c>
      <c r="E263" s="2" t="s">
        <v>157</v>
      </c>
      <c r="F263" s="2">
        <v>19.813189156404547</v>
      </c>
      <c r="G263" s="2" t="str">
        <f>Table1_1[[#This Row],[Country Name]]&amp;"|"&amp;Table1_1[[#This Row],[Series Name]]&amp;"|"&amp;Table1_1[[#This Row],[Years]]</f>
        <v>India|Exports of goods and services (% of GDP)|2015</v>
      </c>
    </row>
    <row r="264" spans="1:7" x14ac:dyDescent="0.3">
      <c r="A264" s="2" t="s">
        <v>52</v>
      </c>
      <c r="B264" s="2" t="s">
        <v>47</v>
      </c>
      <c r="C264" s="2" t="s">
        <v>70</v>
      </c>
      <c r="D264" s="2" t="s">
        <v>147</v>
      </c>
      <c r="E264" s="2" t="s">
        <v>158</v>
      </c>
      <c r="F264" s="2">
        <v>19.158234910594622</v>
      </c>
      <c r="G264" s="2" t="str">
        <f>Table1_1[[#This Row],[Country Name]]&amp;"|"&amp;Table1_1[[#This Row],[Series Name]]&amp;"|"&amp;Table1_1[[#This Row],[Years]]</f>
        <v>India|Exports of goods and services (% of GDP)|2016</v>
      </c>
    </row>
    <row r="265" spans="1:7" x14ac:dyDescent="0.3">
      <c r="A265" s="2" t="s">
        <v>52</v>
      </c>
      <c r="B265" s="2" t="s">
        <v>47</v>
      </c>
      <c r="C265" s="2" t="s">
        <v>70</v>
      </c>
      <c r="D265" s="2" t="s">
        <v>147</v>
      </c>
      <c r="E265" s="2" t="s">
        <v>159</v>
      </c>
      <c r="F265" s="2">
        <v>18.791764839298228</v>
      </c>
      <c r="G265" s="2" t="str">
        <f>Table1_1[[#This Row],[Country Name]]&amp;"|"&amp;Table1_1[[#This Row],[Series Name]]&amp;"|"&amp;Table1_1[[#This Row],[Years]]</f>
        <v>India|Exports of goods and services (% of GDP)|2017</v>
      </c>
    </row>
    <row r="266" spans="1:7" x14ac:dyDescent="0.3">
      <c r="A266" s="2" t="s">
        <v>52</v>
      </c>
      <c r="B266" s="2" t="s">
        <v>47</v>
      </c>
      <c r="C266" s="2" t="s">
        <v>70</v>
      </c>
      <c r="D266" s="2" t="s">
        <v>147</v>
      </c>
      <c r="E266" s="2" t="s">
        <v>160</v>
      </c>
      <c r="F266" s="2">
        <v>19.927828598856166</v>
      </c>
      <c r="G266" s="2" t="str">
        <f>Table1_1[[#This Row],[Country Name]]&amp;"|"&amp;Table1_1[[#This Row],[Series Name]]&amp;"|"&amp;Table1_1[[#This Row],[Years]]</f>
        <v>India|Exports of goods and services (% of GDP)|2018</v>
      </c>
    </row>
    <row r="267" spans="1:7" x14ac:dyDescent="0.3">
      <c r="A267" s="2" t="s">
        <v>52</v>
      </c>
      <c r="B267" s="2" t="s">
        <v>47</v>
      </c>
      <c r="C267" s="2" t="s">
        <v>70</v>
      </c>
      <c r="D267" s="2" t="s">
        <v>147</v>
      </c>
      <c r="E267" s="2" t="s">
        <v>161</v>
      </c>
      <c r="F267" s="2">
        <v>18.664264897257034</v>
      </c>
      <c r="G267" s="2" t="str">
        <f>Table1_1[[#This Row],[Country Name]]&amp;"|"&amp;Table1_1[[#This Row],[Series Name]]&amp;"|"&amp;Table1_1[[#This Row],[Years]]</f>
        <v>India|Exports of goods and services (% of GDP)|2019</v>
      </c>
    </row>
    <row r="268" spans="1:7" x14ac:dyDescent="0.3">
      <c r="A268" s="2" t="s">
        <v>52</v>
      </c>
      <c r="B268" s="2" t="s">
        <v>47</v>
      </c>
      <c r="C268" s="2" t="s">
        <v>70</v>
      </c>
      <c r="D268" s="2" t="s">
        <v>147</v>
      </c>
      <c r="E268" s="2" t="s">
        <v>162</v>
      </c>
      <c r="F268" s="2">
        <v>18.682476929675566</v>
      </c>
      <c r="G268" s="2" t="str">
        <f>Table1_1[[#This Row],[Country Name]]&amp;"|"&amp;Table1_1[[#This Row],[Series Name]]&amp;"|"&amp;Table1_1[[#This Row],[Years]]</f>
        <v>India|Exports of goods and services (% of GDP)|2020</v>
      </c>
    </row>
    <row r="269" spans="1:7" x14ac:dyDescent="0.3">
      <c r="A269" s="2" t="s">
        <v>52</v>
      </c>
      <c r="B269" s="2" t="s">
        <v>47</v>
      </c>
      <c r="C269" s="2" t="s">
        <v>70</v>
      </c>
      <c r="D269" s="2" t="s">
        <v>147</v>
      </c>
      <c r="E269" s="2" t="s">
        <v>163</v>
      </c>
      <c r="F269" s="2">
        <v>21.399158330551472</v>
      </c>
      <c r="G269" s="2" t="str">
        <f>Table1_1[[#This Row],[Country Name]]&amp;"|"&amp;Table1_1[[#This Row],[Series Name]]&amp;"|"&amp;Table1_1[[#This Row],[Years]]</f>
        <v>India|Exports of goods and services (% of GDP)|2021</v>
      </c>
    </row>
    <row r="270" spans="1:7" x14ac:dyDescent="0.3">
      <c r="A270" s="2" t="s">
        <v>52</v>
      </c>
      <c r="B270" s="2" t="s">
        <v>47</v>
      </c>
      <c r="C270" s="2" t="s">
        <v>70</v>
      </c>
      <c r="D270" s="2" t="s">
        <v>147</v>
      </c>
      <c r="E270" s="2" t="s">
        <v>164</v>
      </c>
      <c r="F270" s="2">
        <v>24.040171636595637</v>
      </c>
      <c r="G270" s="2" t="str">
        <f>Table1_1[[#This Row],[Country Name]]&amp;"|"&amp;Table1_1[[#This Row],[Series Name]]&amp;"|"&amp;Table1_1[[#This Row],[Years]]</f>
        <v>India|Exports of goods and services (% of GDP)|2022</v>
      </c>
    </row>
    <row r="271" spans="1:7" x14ac:dyDescent="0.3">
      <c r="A271" s="2" t="s">
        <v>52</v>
      </c>
      <c r="B271" s="2" t="s">
        <v>47</v>
      </c>
      <c r="C271" s="2" t="s">
        <v>70</v>
      </c>
      <c r="D271" s="2" t="s">
        <v>147</v>
      </c>
      <c r="E271" s="2" t="s">
        <v>165</v>
      </c>
      <c r="F271" s="2">
        <v>22.354801966733017</v>
      </c>
      <c r="G271" s="2" t="str">
        <f>Table1_1[[#This Row],[Country Name]]&amp;"|"&amp;Table1_1[[#This Row],[Series Name]]&amp;"|"&amp;Table1_1[[#This Row],[Years]]</f>
        <v>India|Exports of goods and services (% of GDP)|2023</v>
      </c>
    </row>
    <row r="272" spans="1:7" x14ac:dyDescent="0.3">
      <c r="A272" s="2" t="s">
        <v>52</v>
      </c>
      <c r="B272" s="2" t="s">
        <v>47</v>
      </c>
      <c r="C272" s="2" t="s">
        <v>70</v>
      </c>
      <c r="D272" s="2" t="s">
        <v>147</v>
      </c>
      <c r="E272" s="2" t="s">
        <v>166</v>
      </c>
      <c r="F272" s="2">
        <v>22.063981635439902</v>
      </c>
      <c r="G272" s="2" t="str">
        <f>Table1_1[[#This Row],[Country Name]]&amp;"|"&amp;Table1_1[[#This Row],[Series Name]]&amp;"|"&amp;Table1_1[[#This Row],[Years]]</f>
        <v>India|Exports of goods and services (% of GDP)|2024</v>
      </c>
    </row>
    <row r="273" spans="1:7" x14ac:dyDescent="0.3">
      <c r="A273" s="2" t="s">
        <v>52</v>
      </c>
      <c r="B273" s="2" t="s">
        <v>47</v>
      </c>
      <c r="C273" s="2" t="s">
        <v>70</v>
      </c>
      <c r="D273" s="2" t="s">
        <v>147</v>
      </c>
      <c r="E273" s="2" t="s">
        <v>167</v>
      </c>
      <c r="F273" s="2">
        <v>22.263041066980399</v>
      </c>
      <c r="G273" s="2" t="str">
        <f>Table1_1[[#This Row],[Country Name]]&amp;"|"&amp;Table1_1[[#This Row],[Series Name]]&amp;"|"&amp;Table1_1[[#This Row],[Years]]</f>
        <v>India|Exports of goods and services (% of GDP)|2025</v>
      </c>
    </row>
    <row r="274" spans="1:7" x14ac:dyDescent="0.3">
      <c r="A274" s="2" t="s">
        <v>52</v>
      </c>
      <c r="B274" s="2" t="s">
        <v>47</v>
      </c>
      <c r="C274" s="2" t="s">
        <v>56</v>
      </c>
      <c r="D274" s="2" t="s">
        <v>14</v>
      </c>
      <c r="E274" s="2" t="s">
        <v>152</v>
      </c>
      <c r="F274" s="2">
        <v>26.854273248621642</v>
      </c>
      <c r="G274" s="2" t="str">
        <f>Table1_1[[#This Row],[Country Name]]&amp;"|"&amp;Table1_1[[#This Row],[Series Name]]&amp;"|"&amp;Table1_1[[#This Row],[Years]]</f>
        <v>India|Imports of goods and services (% of GDP)|2010</v>
      </c>
    </row>
    <row r="275" spans="1:7" x14ac:dyDescent="0.3">
      <c r="A275" s="2" t="s">
        <v>52</v>
      </c>
      <c r="B275" s="2" t="s">
        <v>47</v>
      </c>
      <c r="C275" s="2" t="s">
        <v>56</v>
      </c>
      <c r="D275" s="2" t="s">
        <v>14</v>
      </c>
      <c r="E275" s="2" t="s">
        <v>153</v>
      </c>
      <c r="F275" s="2">
        <v>31.083468693958476</v>
      </c>
      <c r="G275" s="2" t="str">
        <f>Table1_1[[#This Row],[Country Name]]&amp;"|"&amp;Table1_1[[#This Row],[Series Name]]&amp;"|"&amp;Table1_1[[#This Row],[Years]]</f>
        <v>India|Imports of goods and services (% of GDP)|2011</v>
      </c>
    </row>
    <row r="276" spans="1:7" x14ac:dyDescent="0.3">
      <c r="A276" s="2" t="s">
        <v>52</v>
      </c>
      <c r="B276" s="2" t="s">
        <v>47</v>
      </c>
      <c r="C276" s="2" t="s">
        <v>56</v>
      </c>
      <c r="D276" s="2" t="s">
        <v>14</v>
      </c>
      <c r="E276" s="2" t="s">
        <v>154</v>
      </c>
      <c r="F276" s="2">
        <v>31.259291067333162</v>
      </c>
      <c r="G276" s="2" t="str">
        <f>Table1_1[[#This Row],[Country Name]]&amp;"|"&amp;Table1_1[[#This Row],[Series Name]]&amp;"|"&amp;Table1_1[[#This Row],[Years]]</f>
        <v>India|Imports of goods and services (% of GDP)|2012</v>
      </c>
    </row>
    <row r="277" spans="1:7" x14ac:dyDescent="0.3">
      <c r="A277" s="2" t="s">
        <v>52</v>
      </c>
      <c r="B277" s="2" t="s">
        <v>47</v>
      </c>
      <c r="C277" s="2" t="s">
        <v>56</v>
      </c>
      <c r="D277" s="2" t="s">
        <v>14</v>
      </c>
      <c r="E277" s="2" t="s">
        <v>155</v>
      </c>
      <c r="F277" s="2">
        <v>28.413270646158683</v>
      </c>
      <c r="G277" s="2" t="str">
        <f>Table1_1[[#This Row],[Country Name]]&amp;"|"&amp;Table1_1[[#This Row],[Series Name]]&amp;"|"&amp;Table1_1[[#This Row],[Years]]</f>
        <v>India|Imports of goods and services (% of GDP)|2013</v>
      </c>
    </row>
    <row r="278" spans="1:7" x14ac:dyDescent="0.3">
      <c r="A278" s="2" t="s">
        <v>52</v>
      </c>
      <c r="B278" s="2" t="s">
        <v>47</v>
      </c>
      <c r="C278" s="2" t="s">
        <v>56</v>
      </c>
      <c r="D278" s="2" t="s">
        <v>14</v>
      </c>
      <c r="E278" s="2" t="s">
        <v>156</v>
      </c>
      <c r="F278" s="2">
        <v>25.954222738949667</v>
      </c>
      <c r="G278" s="2" t="str">
        <f>Table1_1[[#This Row],[Country Name]]&amp;"|"&amp;Table1_1[[#This Row],[Series Name]]&amp;"|"&amp;Table1_1[[#This Row],[Years]]</f>
        <v>India|Imports of goods and services (% of GDP)|2014</v>
      </c>
    </row>
    <row r="279" spans="1:7" x14ac:dyDescent="0.3">
      <c r="A279" s="2" t="s">
        <v>52</v>
      </c>
      <c r="B279" s="2" t="s">
        <v>47</v>
      </c>
      <c r="C279" s="2" t="s">
        <v>56</v>
      </c>
      <c r="D279" s="2" t="s">
        <v>14</v>
      </c>
      <c r="E279" s="2" t="s">
        <v>157</v>
      </c>
      <c r="F279" s="2">
        <v>22.109724709460167</v>
      </c>
      <c r="G279" s="2" t="str">
        <f>Table1_1[[#This Row],[Country Name]]&amp;"|"&amp;Table1_1[[#This Row],[Series Name]]&amp;"|"&amp;Table1_1[[#This Row],[Years]]</f>
        <v>India|Imports of goods and services (% of GDP)|2015</v>
      </c>
    </row>
    <row r="280" spans="1:7" x14ac:dyDescent="0.3">
      <c r="A280" s="2" t="s">
        <v>52</v>
      </c>
      <c r="B280" s="2" t="s">
        <v>47</v>
      </c>
      <c r="C280" s="2" t="s">
        <v>56</v>
      </c>
      <c r="D280" s="2" t="s">
        <v>14</v>
      </c>
      <c r="E280" s="2" t="s">
        <v>158</v>
      </c>
      <c r="F280" s="2">
        <v>20.924250802681399</v>
      </c>
      <c r="G280" s="2" t="str">
        <f>Table1_1[[#This Row],[Country Name]]&amp;"|"&amp;Table1_1[[#This Row],[Series Name]]&amp;"|"&amp;Table1_1[[#This Row],[Years]]</f>
        <v>India|Imports of goods and services (% of GDP)|2016</v>
      </c>
    </row>
    <row r="281" spans="1:7" x14ac:dyDescent="0.3">
      <c r="A281" s="2" t="s">
        <v>52</v>
      </c>
      <c r="B281" s="2" t="s">
        <v>47</v>
      </c>
      <c r="C281" s="2" t="s">
        <v>56</v>
      </c>
      <c r="D281" s="2" t="s">
        <v>14</v>
      </c>
      <c r="E281" s="2" t="s">
        <v>159</v>
      </c>
      <c r="F281" s="2">
        <v>21.950732115224302</v>
      </c>
      <c r="G281" s="2" t="str">
        <f>Table1_1[[#This Row],[Country Name]]&amp;"|"&amp;Table1_1[[#This Row],[Series Name]]&amp;"|"&amp;Table1_1[[#This Row],[Years]]</f>
        <v>India|Imports of goods and services (% of GDP)|2017</v>
      </c>
    </row>
    <row r="282" spans="1:7" x14ac:dyDescent="0.3">
      <c r="A282" s="2" t="s">
        <v>52</v>
      </c>
      <c r="B282" s="2" t="s">
        <v>47</v>
      </c>
      <c r="C282" s="2" t="s">
        <v>56</v>
      </c>
      <c r="D282" s="2" t="s">
        <v>14</v>
      </c>
      <c r="E282" s="2" t="s">
        <v>160</v>
      </c>
      <c r="F282" s="2">
        <v>23.689140733532724</v>
      </c>
      <c r="G282" s="2" t="str">
        <f>Table1_1[[#This Row],[Country Name]]&amp;"|"&amp;Table1_1[[#This Row],[Series Name]]&amp;"|"&amp;Table1_1[[#This Row],[Years]]</f>
        <v>India|Imports of goods and services (% of GDP)|2018</v>
      </c>
    </row>
    <row r="283" spans="1:7" x14ac:dyDescent="0.3">
      <c r="A283" s="2" t="s">
        <v>52</v>
      </c>
      <c r="B283" s="2" t="s">
        <v>47</v>
      </c>
      <c r="C283" s="2" t="s">
        <v>56</v>
      </c>
      <c r="D283" s="2" t="s">
        <v>14</v>
      </c>
      <c r="E283" s="2" t="s">
        <v>161</v>
      </c>
      <c r="F283" s="2">
        <v>21.241138633387159</v>
      </c>
      <c r="G283" s="2" t="str">
        <f>Table1_1[[#This Row],[Country Name]]&amp;"|"&amp;Table1_1[[#This Row],[Series Name]]&amp;"|"&amp;Table1_1[[#This Row],[Years]]</f>
        <v>India|Imports of goods and services (% of GDP)|2019</v>
      </c>
    </row>
    <row r="284" spans="1:7" x14ac:dyDescent="0.3">
      <c r="A284" s="2" t="s">
        <v>52</v>
      </c>
      <c r="B284" s="2" t="s">
        <v>47</v>
      </c>
      <c r="C284" s="2" t="s">
        <v>56</v>
      </c>
      <c r="D284" s="2" t="s">
        <v>14</v>
      </c>
      <c r="E284" s="2" t="s">
        <v>162</v>
      </c>
      <c r="F284" s="2">
        <v>19.075628399601189</v>
      </c>
      <c r="G284" s="2" t="str">
        <f>Table1_1[[#This Row],[Country Name]]&amp;"|"&amp;Table1_1[[#This Row],[Series Name]]&amp;"|"&amp;Table1_1[[#This Row],[Years]]</f>
        <v>India|Imports of goods and services (% of GDP)|2020</v>
      </c>
    </row>
    <row r="285" spans="1:7" x14ac:dyDescent="0.3">
      <c r="A285" s="2" t="s">
        <v>52</v>
      </c>
      <c r="B285" s="2" t="s">
        <v>47</v>
      </c>
      <c r="C285" s="2" t="s">
        <v>56</v>
      </c>
      <c r="D285" s="2" t="s">
        <v>14</v>
      </c>
      <c r="E285" s="2" t="s">
        <v>163</v>
      </c>
      <c r="F285" s="2">
        <v>24.023930453493126</v>
      </c>
      <c r="G285" s="2" t="str">
        <f>Table1_1[[#This Row],[Country Name]]&amp;"|"&amp;Table1_1[[#This Row],[Series Name]]&amp;"|"&amp;Table1_1[[#This Row],[Years]]</f>
        <v>India|Imports of goods and services (% of GDP)|2021</v>
      </c>
    </row>
    <row r="286" spans="1:7" x14ac:dyDescent="0.3">
      <c r="A286" s="2" t="s">
        <v>52</v>
      </c>
      <c r="B286" s="2" t="s">
        <v>47</v>
      </c>
      <c r="C286" s="2" t="s">
        <v>56</v>
      </c>
      <c r="D286" s="2" t="s">
        <v>14</v>
      </c>
      <c r="E286" s="2" t="s">
        <v>164</v>
      </c>
      <c r="F286" s="2">
        <v>26.657766639208596</v>
      </c>
      <c r="G286" s="2" t="str">
        <f>Table1_1[[#This Row],[Country Name]]&amp;"|"&amp;Table1_1[[#This Row],[Series Name]]&amp;"|"&amp;Table1_1[[#This Row],[Years]]</f>
        <v>India|Imports of goods and services (% of GDP)|2022</v>
      </c>
    </row>
    <row r="287" spans="1:7" x14ac:dyDescent="0.3">
      <c r="A287" s="2" t="s">
        <v>52</v>
      </c>
      <c r="B287" s="2" t="s">
        <v>47</v>
      </c>
      <c r="C287" s="2" t="s">
        <v>56</v>
      </c>
      <c r="D287" s="2" t="s">
        <v>14</v>
      </c>
      <c r="E287" s="2" t="s">
        <v>165</v>
      </c>
      <c r="F287" s="2">
        <v>23.968150091500824</v>
      </c>
      <c r="G287" s="2" t="str">
        <f>Table1_1[[#This Row],[Country Name]]&amp;"|"&amp;Table1_1[[#This Row],[Series Name]]&amp;"|"&amp;Table1_1[[#This Row],[Years]]</f>
        <v>India|Imports of goods and services (% of GDP)|2023</v>
      </c>
    </row>
    <row r="288" spans="1:7" x14ac:dyDescent="0.3">
      <c r="A288" s="2" t="s">
        <v>52</v>
      </c>
      <c r="B288" s="2" t="s">
        <v>47</v>
      </c>
      <c r="C288" s="2" t="s">
        <v>56</v>
      </c>
      <c r="D288" s="2" t="s">
        <v>14</v>
      </c>
      <c r="E288" s="2" t="s">
        <v>166</v>
      </c>
      <c r="F288" s="2">
        <v>23.852709132434917</v>
      </c>
      <c r="G288" s="2" t="str">
        <f>Table1_1[[#This Row],[Country Name]]&amp;"|"&amp;Table1_1[[#This Row],[Series Name]]&amp;"|"&amp;Table1_1[[#This Row],[Years]]</f>
        <v>India|Imports of goods and services (% of GDP)|2024</v>
      </c>
    </row>
    <row r="289" spans="1:7" x14ac:dyDescent="0.3">
      <c r="A289" s="2" t="s">
        <v>52</v>
      </c>
      <c r="B289" s="2" t="s">
        <v>47</v>
      </c>
      <c r="C289" s="2" t="s">
        <v>56</v>
      </c>
      <c r="D289" s="2" t="s">
        <v>14</v>
      </c>
      <c r="E289" s="2" t="s">
        <v>167</v>
      </c>
      <c r="F289" s="2">
        <v>24.005159619010332</v>
      </c>
      <c r="G289" s="2" t="str">
        <f>Table1_1[[#This Row],[Country Name]]&amp;"|"&amp;Table1_1[[#This Row],[Series Name]]&amp;"|"&amp;Table1_1[[#This Row],[Years]]</f>
        <v>India|Imports of goods and services (% of GDP)|2025</v>
      </c>
    </row>
    <row r="290" spans="1:7" x14ac:dyDescent="0.3">
      <c r="A290" s="2" t="s">
        <v>52</v>
      </c>
      <c r="B290" s="2" t="s">
        <v>47</v>
      </c>
      <c r="C290" s="2" t="s">
        <v>13</v>
      </c>
      <c r="D290" s="2" t="s">
        <v>123</v>
      </c>
      <c r="E290" s="2" t="s">
        <v>152</v>
      </c>
      <c r="F290" s="2">
        <v>27396885033.783798</v>
      </c>
      <c r="G290" s="2" t="str">
        <f>Table1_1[[#This Row],[Country Name]]&amp;"|"&amp;Table1_1[[#This Row],[Series Name]]&amp;"|"&amp;Table1_1[[#This Row],[Years]]</f>
        <v>India|Foreign direct investment, net inflows (BoP, current US$)|2010</v>
      </c>
    </row>
    <row r="291" spans="1:7" x14ac:dyDescent="0.3">
      <c r="A291" s="2" t="s">
        <v>52</v>
      </c>
      <c r="B291" s="2" t="s">
        <v>47</v>
      </c>
      <c r="C291" s="2" t="s">
        <v>13</v>
      </c>
      <c r="D291" s="2" t="s">
        <v>123</v>
      </c>
      <c r="E291" s="2" t="s">
        <v>153</v>
      </c>
      <c r="F291" s="2">
        <v>36498654597.858902</v>
      </c>
      <c r="G291" s="2" t="str">
        <f>Table1_1[[#This Row],[Country Name]]&amp;"|"&amp;Table1_1[[#This Row],[Series Name]]&amp;"|"&amp;Table1_1[[#This Row],[Years]]</f>
        <v>India|Foreign direct investment, net inflows (BoP, current US$)|2011</v>
      </c>
    </row>
    <row r="292" spans="1:7" x14ac:dyDescent="0.3">
      <c r="A292" s="2" t="s">
        <v>52</v>
      </c>
      <c r="B292" s="2" t="s">
        <v>47</v>
      </c>
      <c r="C292" s="2" t="s">
        <v>13</v>
      </c>
      <c r="D292" s="2" t="s">
        <v>123</v>
      </c>
      <c r="E292" s="2" t="s">
        <v>154</v>
      </c>
      <c r="F292" s="2">
        <v>23995685014.2141</v>
      </c>
      <c r="G292" s="2" t="str">
        <f>Table1_1[[#This Row],[Country Name]]&amp;"|"&amp;Table1_1[[#This Row],[Series Name]]&amp;"|"&amp;Table1_1[[#This Row],[Years]]</f>
        <v>India|Foreign direct investment, net inflows (BoP, current US$)|2012</v>
      </c>
    </row>
    <row r="293" spans="1:7" x14ac:dyDescent="0.3">
      <c r="A293" s="2" t="s">
        <v>52</v>
      </c>
      <c r="B293" s="2" t="s">
        <v>47</v>
      </c>
      <c r="C293" s="2" t="s">
        <v>13</v>
      </c>
      <c r="D293" s="2" t="s">
        <v>123</v>
      </c>
      <c r="E293" s="2" t="s">
        <v>155</v>
      </c>
      <c r="F293" s="2">
        <v>28153031270.320202</v>
      </c>
      <c r="G293" s="2" t="str">
        <f>Table1_1[[#This Row],[Country Name]]&amp;"|"&amp;Table1_1[[#This Row],[Series Name]]&amp;"|"&amp;Table1_1[[#This Row],[Years]]</f>
        <v>India|Foreign direct investment, net inflows (BoP, current US$)|2013</v>
      </c>
    </row>
    <row r="294" spans="1:7" x14ac:dyDescent="0.3">
      <c r="A294" s="2" t="s">
        <v>52</v>
      </c>
      <c r="B294" s="2" t="s">
        <v>47</v>
      </c>
      <c r="C294" s="2" t="s">
        <v>13</v>
      </c>
      <c r="D294" s="2" t="s">
        <v>123</v>
      </c>
      <c r="E294" s="2" t="s">
        <v>156</v>
      </c>
      <c r="F294" s="2">
        <v>34576643694.138199</v>
      </c>
      <c r="G294" s="2" t="str">
        <f>Table1_1[[#This Row],[Country Name]]&amp;"|"&amp;Table1_1[[#This Row],[Series Name]]&amp;"|"&amp;Table1_1[[#This Row],[Years]]</f>
        <v>India|Foreign direct investment, net inflows (BoP, current US$)|2014</v>
      </c>
    </row>
    <row r="295" spans="1:7" x14ac:dyDescent="0.3">
      <c r="A295" s="2" t="s">
        <v>52</v>
      </c>
      <c r="B295" s="2" t="s">
        <v>47</v>
      </c>
      <c r="C295" s="2" t="s">
        <v>13</v>
      </c>
      <c r="D295" s="2" t="s">
        <v>123</v>
      </c>
      <c r="E295" s="2" t="s">
        <v>157</v>
      </c>
      <c r="F295" s="2">
        <v>44009492129.531898</v>
      </c>
      <c r="G295" s="2" t="str">
        <f>Table1_1[[#This Row],[Country Name]]&amp;"|"&amp;Table1_1[[#This Row],[Series Name]]&amp;"|"&amp;Table1_1[[#This Row],[Years]]</f>
        <v>India|Foreign direct investment, net inflows (BoP, current US$)|2015</v>
      </c>
    </row>
    <row r="296" spans="1:7" x14ac:dyDescent="0.3">
      <c r="A296" s="2" t="s">
        <v>52</v>
      </c>
      <c r="B296" s="2" t="s">
        <v>47</v>
      </c>
      <c r="C296" s="2" t="s">
        <v>13</v>
      </c>
      <c r="D296" s="2" t="s">
        <v>123</v>
      </c>
      <c r="E296" s="2" t="s">
        <v>158</v>
      </c>
      <c r="F296" s="2">
        <v>44458571545.797997</v>
      </c>
      <c r="G296" s="2" t="str">
        <f>Table1_1[[#This Row],[Country Name]]&amp;"|"&amp;Table1_1[[#This Row],[Series Name]]&amp;"|"&amp;Table1_1[[#This Row],[Years]]</f>
        <v>India|Foreign direct investment, net inflows (BoP, current US$)|2016</v>
      </c>
    </row>
    <row r="297" spans="1:7" x14ac:dyDescent="0.3">
      <c r="A297" s="2" t="s">
        <v>52</v>
      </c>
      <c r="B297" s="2" t="s">
        <v>47</v>
      </c>
      <c r="C297" s="2" t="s">
        <v>13</v>
      </c>
      <c r="D297" s="2" t="s">
        <v>123</v>
      </c>
      <c r="E297" s="2" t="s">
        <v>159</v>
      </c>
      <c r="F297" s="2">
        <v>39966091358.738403</v>
      </c>
      <c r="G297" s="2" t="str">
        <f>Table1_1[[#This Row],[Country Name]]&amp;"|"&amp;Table1_1[[#This Row],[Series Name]]&amp;"|"&amp;Table1_1[[#This Row],[Years]]</f>
        <v>India|Foreign direct investment, net inflows (BoP, current US$)|2017</v>
      </c>
    </row>
    <row r="298" spans="1:7" x14ac:dyDescent="0.3">
      <c r="A298" s="2" t="s">
        <v>52</v>
      </c>
      <c r="B298" s="2" t="s">
        <v>47</v>
      </c>
      <c r="C298" s="2" t="s">
        <v>13</v>
      </c>
      <c r="D298" s="2" t="s">
        <v>123</v>
      </c>
      <c r="E298" s="2" t="s">
        <v>160</v>
      </c>
      <c r="F298" s="2">
        <v>42117450737.264397</v>
      </c>
      <c r="G298" s="2" t="str">
        <f>Table1_1[[#This Row],[Country Name]]&amp;"|"&amp;Table1_1[[#This Row],[Series Name]]&amp;"|"&amp;Table1_1[[#This Row],[Years]]</f>
        <v>India|Foreign direct investment, net inflows (BoP, current US$)|2018</v>
      </c>
    </row>
    <row r="299" spans="1:7" x14ac:dyDescent="0.3">
      <c r="A299" s="2" t="s">
        <v>52</v>
      </c>
      <c r="B299" s="2" t="s">
        <v>47</v>
      </c>
      <c r="C299" s="2" t="s">
        <v>13</v>
      </c>
      <c r="D299" s="2" t="s">
        <v>123</v>
      </c>
      <c r="E299" s="2" t="s">
        <v>161</v>
      </c>
      <c r="F299" s="2">
        <v>50610647353.591103</v>
      </c>
      <c r="G299" s="2" t="str">
        <f>Table1_1[[#This Row],[Country Name]]&amp;"|"&amp;Table1_1[[#This Row],[Series Name]]&amp;"|"&amp;Table1_1[[#This Row],[Years]]</f>
        <v>India|Foreign direct investment, net inflows (BoP, current US$)|2019</v>
      </c>
    </row>
    <row r="300" spans="1:7" x14ac:dyDescent="0.3">
      <c r="A300" s="2" t="s">
        <v>52</v>
      </c>
      <c r="B300" s="2" t="s">
        <v>47</v>
      </c>
      <c r="C300" s="2" t="s">
        <v>13</v>
      </c>
      <c r="D300" s="2" t="s">
        <v>123</v>
      </c>
      <c r="E300" s="2" t="s">
        <v>162</v>
      </c>
      <c r="F300" s="2">
        <v>64362364994.375397</v>
      </c>
      <c r="G300" s="2" t="str">
        <f>Table1_1[[#This Row],[Country Name]]&amp;"|"&amp;Table1_1[[#This Row],[Series Name]]&amp;"|"&amp;Table1_1[[#This Row],[Years]]</f>
        <v>India|Foreign direct investment, net inflows (BoP, current US$)|2020</v>
      </c>
    </row>
    <row r="301" spans="1:7" x14ac:dyDescent="0.3">
      <c r="A301" s="2" t="s">
        <v>52</v>
      </c>
      <c r="B301" s="2" t="s">
        <v>47</v>
      </c>
      <c r="C301" s="2" t="s">
        <v>13</v>
      </c>
      <c r="D301" s="2" t="s">
        <v>123</v>
      </c>
      <c r="E301" s="2" t="s">
        <v>163</v>
      </c>
      <c r="F301" s="2">
        <v>44727277562.880997</v>
      </c>
      <c r="G301" s="2" t="str">
        <f>Table1_1[[#This Row],[Country Name]]&amp;"|"&amp;Table1_1[[#This Row],[Series Name]]&amp;"|"&amp;Table1_1[[#This Row],[Years]]</f>
        <v>India|Foreign direct investment, net inflows (BoP, current US$)|2021</v>
      </c>
    </row>
    <row r="302" spans="1:7" x14ac:dyDescent="0.3">
      <c r="A302" s="2" t="s">
        <v>52</v>
      </c>
      <c r="B302" s="2" t="s">
        <v>47</v>
      </c>
      <c r="C302" s="2" t="s">
        <v>13</v>
      </c>
      <c r="D302" s="2" t="s">
        <v>123</v>
      </c>
      <c r="E302" s="2" t="s">
        <v>164</v>
      </c>
      <c r="F302" s="2">
        <v>49940258404.2659</v>
      </c>
      <c r="G302" s="2" t="str">
        <f>Table1_1[[#This Row],[Country Name]]&amp;"|"&amp;Table1_1[[#This Row],[Series Name]]&amp;"|"&amp;Table1_1[[#This Row],[Years]]</f>
        <v>India|Foreign direct investment, net inflows (BoP, current US$)|2022</v>
      </c>
    </row>
    <row r="303" spans="1:7" x14ac:dyDescent="0.3">
      <c r="A303" s="2" t="s">
        <v>52</v>
      </c>
      <c r="B303" s="2" t="s">
        <v>47</v>
      </c>
      <c r="C303" s="2" t="s">
        <v>13</v>
      </c>
      <c r="D303" s="2" t="s">
        <v>123</v>
      </c>
      <c r="E303" s="2" t="s">
        <v>165</v>
      </c>
      <c r="F303" s="2">
        <v>28086193530.3979</v>
      </c>
      <c r="G303" s="2" t="str">
        <f>Table1_1[[#This Row],[Country Name]]&amp;"|"&amp;Table1_1[[#This Row],[Series Name]]&amp;"|"&amp;Table1_1[[#This Row],[Years]]</f>
        <v>India|Foreign direct investment, net inflows (BoP, current US$)|2023</v>
      </c>
    </row>
    <row r="304" spans="1:7" x14ac:dyDescent="0.3">
      <c r="A304" s="2" t="s">
        <v>52</v>
      </c>
      <c r="B304" s="2" t="s">
        <v>47</v>
      </c>
      <c r="C304" s="2" t="s">
        <v>13</v>
      </c>
      <c r="D304" s="2" t="s">
        <v>123</v>
      </c>
      <c r="E304" s="2" t="s">
        <v>166</v>
      </c>
      <c r="F304" s="2">
        <v>27139853378.140202</v>
      </c>
      <c r="G304" s="2" t="str">
        <f>Table1_1[[#This Row],[Country Name]]&amp;"|"&amp;Table1_1[[#This Row],[Series Name]]&amp;"|"&amp;Table1_1[[#This Row],[Years]]</f>
        <v>India|Foreign direct investment, net inflows (BoP, current US$)|2024</v>
      </c>
    </row>
    <row r="305" spans="1:7" x14ac:dyDescent="0.3">
      <c r="A305" s="2" t="s">
        <v>52</v>
      </c>
      <c r="B305" s="2" t="s">
        <v>47</v>
      </c>
      <c r="C305" s="2" t="s">
        <v>13</v>
      </c>
      <c r="D305" s="2" t="s">
        <v>123</v>
      </c>
      <c r="E305" s="2" t="s">
        <v>167</v>
      </c>
      <c r="F305" s="2">
        <v>39097233086.213303</v>
      </c>
      <c r="G305" s="2" t="str">
        <f>Table1_1[[#This Row],[Country Name]]&amp;"|"&amp;Table1_1[[#This Row],[Series Name]]&amp;"|"&amp;Table1_1[[#This Row],[Years]]</f>
        <v>India|Foreign direct investment, net inflows (BoP, current US$)|2025</v>
      </c>
    </row>
    <row r="306" spans="1:7" x14ac:dyDescent="0.3">
      <c r="A306" s="2" t="s">
        <v>52</v>
      </c>
      <c r="B306" s="2" t="s">
        <v>47</v>
      </c>
      <c r="C306" s="2" t="s">
        <v>107</v>
      </c>
      <c r="D306" s="2" t="s">
        <v>106</v>
      </c>
      <c r="E306" s="2" t="s">
        <v>152</v>
      </c>
      <c r="F306" s="2">
        <v>1243481564</v>
      </c>
      <c r="G306" s="2" t="str">
        <f>Table1_1[[#This Row],[Country Name]]&amp;"|"&amp;Table1_1[[#This Row],[Series Name]]&amp;"|"&amp;Table1_1[[#This Row],[Years]]</f>
        <v>India|Population, total|2010</v>
      </c>
    </row>
    <row r="307" spans="1:7" x14ac:dyDescent="0.3">
      <c r="A307" s="2" t="s">
        <v>52</v>
      </c>
      <c r="B307" s="2" t="s">
        <v>47</v>
      </c>
      <c r="C307" s="2" t="s">
        <v>107</v>
      </c>
      <c r="D307" s="2" t="s">
        <v>106</v>
      </c>
      <c r="E307" s="2" t="s">
        <v>153</v>
      </c>
      <c r="F307" s="2">
        <v>1261224954</v>
      </c>
      <c r="G307" s="2" t="str">
        <f>Table1_1[[#This Row],[Country Name]]&amp;"|"&amp;Table1_1[[#This Row],[Series Name]]&amp;"|"&amp;Table1_1[[#This Row],[Years]]</f>
        <v>India|Population, total|2011</v>
      </c>
    </row>
    <row r="308" spans="1:7" x14ac:dyDescent="0.3">
      <c r="A308" s="2" t="s">
        <v>52</v>
      </c>
      <c r="B308" s="2" t="s">
        <v>47</v>
      </c>
      <c r="C308" s="2" t="s">
        <v>107</v>
      </c>
      <c r="D308" s="2" t="s">
        <v>106</v>
      </c>
      <c r="E308" s="2" t="s">
        <v>154</v>
      </c>
      <c r="F308" s="2">
        <v>1278674502</v>
      </c>
      <c r="G308" s="2" t="str">
        <f>Table1_1[[#This Row],[Country Name]]&amp;"|"&amp;Table1_1[[#This Row],[Series Name]]&amp;"|"&amp;Table1_1[[#This Row],[Years]]</f>
        <v>India|Population, total|2012</v>
      </c>
    </row>
    <row r="309" spans="1:7" x14ac:dyDescent="0.3">
      <c r="A309" s="2" t="s">
        <v>52</v>
      </c>
      <c r="B309" s="2" t="s">
        <v>47</v>
      </c>
      <c r="C309" s="2" t="s">
        <v>107</v>
      </c>
      <c r="D309" s="2" t="s">
        <v>106</v>
      </c>
      <c r="E309" s="2" t="s">
        <v>155</v>
      </c>
      <c r="F309" s="2">
        <v>1295829511</v>
      </c>
      <c r="G309" s="2" t="str">
        <f>Table1_1[[#This Row],[Country Name]]&amp;"|"&amp;Table1_1[[#This Row],[Series Name]]&amp;"|"&amp;Table1_1[[#This Row],[Years]]</f>
        <v>India|Population, total|2013</v>
      </c>
    </row>
    <row r="310" spans="1:7" x14ac:dyDescent="0.3">
      <c r="A310" s="2" t="s">
        <v>52</v>
      </c>
      <c r="B310" s="2" t="s">
        <v>47</v>
      </c>
      <c r="C310" s="2" t="s">
        <v>107</v>
      </c>
      <c r="D310" s="2" t="s">
        <v>106</v>
      </c>
      <c r="E310" s="2" t="s">
        <v>156</v>
      </c>
      <c r="F310" s="2">
        <v>1312277191</v>
      </c>
      <c r="G310" s="2" t="str">
        <f>Table1_1[[#This Row],[Country Name]]&amp;"|"&amp;Table1_1[[#This Row],[Series Name]]&amp;"|"&amp;Table1_1[[#This Row],[Years]]</f>
        <v>India|Population, total|2014</v>
      </c>
    </row>
    <row r="311" spans="1:7" x14ac:dyDescent="0.3">
      <c r="A311" s="2" t="s">
        <v>52</v>
      </c>
      <c r="B311" s="2" t="s">
        <v>47</v>
      </c>
      <c r="C311" s="2" t="s">
        <v>107</v>
      </c>
      <c r="D311" s="2" t="s">
        <v>106</v>
      </c>
      <c r="E311" s="2" t="s">
        <v>157</v>
      </c>
      <c r="F311" s="2">
        <v>1328024498</v>
      </c>
      <c r="G311" s="2" t="str">
        <f>Table1_1[[#This Row],[Country Name]]&amp;"|"&amp;Table1_1[[#This Row],[Series Name]]&amp;"|"&amp;Table1_1[[#This Row],[Years]]</f>
        <v>India|Population, total|2015</v>
      </c>
    </row>
    <row r="312" spans="1:7" x14ac:dyDescent="0.3">
      <c r="A312" s="2" t="s">
        <v>52</v>
      </c>
      <c r="B312" s="2" t="s">
        <v>47</v>
      </c>
      <c r="C312" s="2" t="s">
        <v>107</v>
      </c>
      <c r="D312" s="2" t="s">
        <v>106</v>
      </c>
      <c r="E312" s="2" t="s">
        <v>158</v>
      </c>
      <c r="F312" s="2">
        <v>1343944296</v>
      </c>
      <c r="G312" s="2" t="str">
        <f>Table1_1[[#This Row],[Country Name]]&amp;"|"&amp;Table1_1[[#This Row],[Series Name]]&amp;"|"&amp;Table1_1[[#This Row],[Years]]</f>
        <v>India|Population, total|2016</v>
      </c>
    </row>
    <row r="313" spans="1:7" x14ac:dyDescent="0.3">
      <c r="A313" s="2" t="s">
        <v>52</v>
      </c>
      <c r="B313" s="2" t="s">
        <v>47</v>
      </c>
      <c r="C313" s="2" t="s">
        <v>107</v>
      </c>
      <c r="D313" s="2" t="s">
        <v>106</v>
      </c>
      <c r="E313" s="2" t="s">
        <v>159</v>
      </c>
      <c r="F313" s="2">
        <v>1359657400</v>
      </c>
      <c r="G313" s="2" t="str">
        <f>Table1_1[[#This Row],[Country Name]]&amp;"|"&amp;Table1_1[[#This Row],[Series Name]]&amp;"|"&amp;Table1_1[[#This Row],[Years]]</f>
        <v>India|Population, total|2017</v>
      </c>
    </row>
    <row r="314" spans="1:7" x14ac:dyDescent="0.3">
      <c r="A314" s="2" t="s">
        <v>52</v>
      </c>
      <c r="B314" s="2" t="s">
        <v>47</v>
      </c>
      <c r="C314" s="2" t="s">
        <v>107</v>
      </c>
      <c r="D314" s="2" t="s">
        <v>106</v>
      </c>
      <c r="E314" s="2" t="s">
        <v>160</v>
      </c>
      <c r="F314" s="2">
        <v>1374659064</v>
      </c>
      <c r="G314" s="2" t="str">
        <f>Table1_1[[#This Row],[Country Name]]&amp;"|"&amp;Table1_1[[#This Row],[Series Name]]&amp;"|"&amp;Table1_1[[#This Row],[Years]]</f>
        <v>India|Population, total|2018</v>
      </c>
    </row>
    <row r="315" spans="1:7" x14ac:dyDescent="0.3">
      <c r="A315" s="2" t="s">
        <v>52</v>
      </c>
      <c r="B315" s="2" t="s">
        <v>47</v>
      </c>
      <c r="C315" s="2" t="s">
        <v>107</v>
      </c>
      <c r="D315" s="2" t="s">
        <v>106</v>
      </c>
      <c r="E315" s="2" t="s">
        <v>161</v>
      </c>
      <c r="F315" s="2">
        <v>1389030312</v>
      </c>
      <c r="G315" s="2" t="str">
        <f>Table1_1[[#This Row],[Country Name]]&amp;"|"&amp;Table1_1[[#This Row],[Series Name]]&amp;"|"&amp;Table1_1[[#This Row],[Years]]</f>
        <v>India|Population, total|2019</v>
      </c>
    </row>
    <row r="316" spans="1:7" x14ac:dyDescent="0.3">
      <c r="A316" s="2" t="s">
        <v>52</v>
      </c>
      <c r="B316" s="2" t="s">
        <v>47</v>
      </c>
      <c r="C316" s="2" t="s">
        <v>107</v>
      </c>
      <c r="D316" s="2" t="s">
        <v>106</v>
      </c>
      <c r="E316" s="2" t="s">
        <v>162</v>
      </c>
      <c r="F316" s="2">
        <v>1402617695</v>
      </c>
      <c r="G316" s="2" t="str">
        <f>Table1_1[[#This Row],[Country Name]]&amp;"|"&amp;Table1_1[[#This Row],[Series Name]]&amp;"|"&amp;Table1_1[[#This Row],[Years]]</f>
        <v>India|Population, total|2020</v>
      </c>
    </row>
    <row r="317" spans="1:7" x14ac:dyDescent="0.3">
      <c r="A317" s="2" t="s">
        <v>52</v>
      </c>
      <c r="B317" s="2" t="s">
        <v>47</v>
      </c>
      <c r="C317" s="2" t="s">
        <v>107</v>
      </c>
      <c r="D317" s="2" t="s">
        <v>106</v>
      </c>
      <c r="E317" s="2" t="s">
        <v>163</v>
      </c>
      <c r="F317" s="2">
        <v>1414203896</v>
      </c>
      <c r="G317" s="2" t="str">
        <f>Table1_1[[#This Row],[Country Name]]&amp;"|"&amp;Table1_1[[#This Row],[Series Name]]&amp;"|"&amp;Table1_1[[#This Row],[Years]]</f>
        <v>India|Population, total|2021</v>
      </c>
    </row>
    <row r="318" spans="1:7" x14ac:dyDescent="0.3">
      <c r="A318" s="2" t="s">
        <v>52</v>
      </c>
      <c r="B318" s="2" t="s">
        <v>47</v>
      </c>
      <c r="C318" s="2" t="s">
        <v>107</v>
      </c>
      <c r="D318" s="2" t="s">
        <v>106</v>
      </c>
      <c r="E318" s="2" t="s">
        <v>164</v>
      </c>
      <c r="F318" s="2">
        <v>1425423212</v>
      </c>
      <c r="G318" s="2" t="str">
        <f>Table1_1[[#This Row],[Country Name]]&amp;"|"&amp;Table1_1[[#This Row],[Series Name]]&amp;"|"&amp;Table1_1[[#This Row],[Years]]</f>
        <v>India|Population, total|2022</v>
      </c>
    </row>
    <row r="319" spans="1:7" x14ac:dyDescent="0.3">
      <c r="A319" s="2" t="s">
        <v>52</v>
      </c>
      <c r="B319" s="2" t="s">
        <v>47</v>
      </c>
      <c r="C319" s="2" t="s">
        <v>107</v>
      </c>
      <c r="D319" s="2" t="s">
        <v>106</v>
      </c>
      <c r="E319" s="2" t="s">
        <v>165</v>
      </c>
      <c r="F319" s="2">
        <v>1438069596</v>
      </c>
      <c r="G319" s="2" t="str">
        <f>Table1_1[[#This Row],[Country Name]]&amp;"|"&amp;Table1_1[[#This Row],[Series Name]]&amp;"|"&amp;Table1_1[[#This Row],[Years]]</f>
        <v>India|Population, total|2023</v>
      </c>
    </row>
    <row r="320" spans="1:7" x14ac:dyDescent="0.3">
      <c r="A320" s="2" t="s">
        <v>52</v>
      </c>
      <c r="B320" s="2" t="s">
        <v>47</v>
      </c>
      <c r="C320" s="2" t="s">
        <v>107</v>
      </c>
      <c r="D320" s="2" t="s">
        <v>106</v>
      </c>
      <c r="E320" s="2" t="s">
        <v>166</v>
      </c>
      <c r="F320" s="2">
        <v>1450935791</v>
      </c>
      <c r="G320" s="2" t="str">
        <f>Table1_1[[#This Row],[Country Name]]&amp;"|"&amp;Table1_1[[#This Row],[Series Name]]&amp;"|"&amp;Table1_1[[#This Row],[Years]]</f>
        <v>India|Population, total|2024</v>
      </c>
    </row>
    <row r="321" spans="1:7" x14ac:dyDescent="0.3">
      <c r="A321" s="2" t="s">
        <v>52</v>
      </c>
      <c r="B321" s="2" t="s">
        <v>47</v>
      </c>
      <c r="C321" s="2" t="s">
        <v>107</v>
      </c>
      <c r="D321" s="2" t="s">
        <v>106</v>
      </c>
      <c r="E321" s="2" t="s">
        <v>167</v>
      </c>
      <c r="F321" s="2">
        <v>1463865525</v>
      </c>
      <c r="G321" s="2" t="str">
        <f>Table1_1[[#This Row],[Country Name]]&amp;"|"&amp;Table1_1[[#This Row],[Series Name]]&amp;"|"&amp;Table1_1[[#This Row],[Years]]</f>
        <v>India|Population, total|2025</v>
      </c>
    </row>
    <row r="322" spans="1:7" x14ac:dyDescent="0.3">
      <c r="A322" s="2" t="s">
        <v>44</v>
      </c>
      <c r="B322" s="2" t="s">
        <v>30</v>
      </c>
      <c r="C322" s="2" t="s">
        <v>25</v>
      </c>
      <c r="D322" s="2" t="s">
        <v>89</v>
      </c>
      <c r="E322" s="2" t="s">
        <v>152</v>
      </c>
      <c r="F322" s="2">
        <v>6192564874453.29</v>
      </c>
      <c r="G322" s="2" t="str">
        <f>Table1_1[[#This Row],[Country Name]]&amp;"|"&amp;Table1_1[[#This Row],[Series Name]]&amp;"|"&amp;Table1_1[[#This Row],[Years]]</f>
        <v>China|GDP (current US$)|2010</v>
      </c>
    </row>
    <row r="323" spans="1:7" x14ac:dyDescent="0.3">
      <c r="A323" s="2" t="s">
        <v>44</v>
      </c>
      <c r="B323" s="2" t="s">
        <v>30</v>
      </c>
      <c r="C323" s="2" t="s">
        <v>25</v>
      </c>
      <c r="D323" s="2" t="s">
        <v>89</v>
      </c>
      <c r="E323" s="2" t="s">
        <v>153</v>
      </c>
      <c r="F323" s="2">
        <v>7671757207851.2891</v>
      </c>
      <c r="G323" s="2" t="str">
        <f>Table1_1[[#This Row],[Country Name]]&amp;"|"&amp;Table1_1[[#This Row],[Series Name]]&amp;"|"&amp;Table1_1[[#This Row],[Years]]</f>
        <v>China|GDP (current US$)|2011</v>
      </c>
    </row>
    <row r="324" spans="1:7" x14ac:dyDescent="0.3">
      <c r="A324" s="2" t="s">
        <v>44</v>
      </c>
      <c r="B324" s="2" t="s">
        <v>30</v>
      </c>
      <c r="C324" s="2" t="s">
        <v>25</v>
      </c>
      <c r="D324" s="2" t="s">
        <v>89</v>
      </c>
      <c r="E324" s="2" t="s">
        <v>154</v>
      </c>
      <c r="F324" s="2">
        <v>8673664713189.2441</v>
      </c>
      <c r="G324" s="2" t="str">
        <f>Table1_1[[#This Row],[Country Name]]&amp;"|"&amp;Table1_1[[#This Row],[Series Name]]&amp;"|"&amp;Table1_1[[#This Row],[Years]]</f>
        <v>China|GDP (current US$)|2012</v>
      </c>
    </row>
    <row r="325" spans="1:7" x14ac:dyDescent="0.3">
      <c r="A325" s="2" t="s">
        <v>44</v>
      </c>
      <c r="B325" s="2" t="s">
        <v>30</v>
      </c>
      <c r="C325" s="2" t="s">
        <v>25</v>
      </c>
      <c r="D325" s="2" t="s">
        <v>89</v>
      </c>
      <c r="E325" s="2" t="s">
        <v>155</v>
      </c>
      <c r="F325" s="2">
        <v>9743124247267.2441</v>
      </c>
      <c r="G325" s="2" t="str">
        <f>Table1_1[[#This Row],[Country Name]]&amp;"|"&amp;Table1_1[[#This Row],[Series Name]]&amp;"|"&amp;Table1_1[[#This Row],[Years]]</f>
        <v>China|GDP (current US$)|2013</v>
      </c>
    </row>
    <row r="326" spans="1:7" x14ac:dyDescent="0.3">
      <c r="A326" s="2" t="s">
        <v>44</v>
      </c>
      <c r="B326" s="2" t="s">
        <v>30</v>
      </c>
      <c r="C326" s="2" t="s">
        <v>25</v>
      </c>
      <c r="D326" s="2" t="s">
        <v>89</v>
      </c>
      <c r="E326" s="2" t="s">
        <v>156</v>
      </c>
      <c r="F326" s="2">
        <v>10674533168257.361</v>
      </c>
      <c r="G326" s="2" t="str">
        <f>Table1_1[[#This Row],[Country Name]]&amp;"|"&amp;Table1_1[[#This Row],[Series Name]]&amp;"|"&amp;Table1_1[[#This Row],[Years]]</f>
        <v>China|GDP (current US$)|2014</v>
      </c>
    </row>
    <row r="327" spans="1:7" x14ac:dyDescent="0.3">
      <c r="A327" s="2" t="s">
        <v>44</v>
      </c>
      <c r="B327" s="2" t="s">
        <v>30</v>
      </c>
      <c r="C327" s="2" t="s">
        <v>25</v>
      </c>
      <c r="D327" s="2" t="s">
        <v>89</v>
      </c>
      <c r="E327" s="2" t="s">
        <v>157</v>
      </c>
      <c r="F327" s="2">
        <v>11280814787468.914</v>
      </c>
      <c r="G327" s="2" t="str">
        <f>Table1_1[[#This Row],[Country Name]]&amp;"|"&amp;Table1_1[[#This Row],[Series Name]]&amp;"|"&amp;Table1_1[[#This Row],[Years]]</f>
        <v>China|GDP (current US$)|2015</v>
      </c>
    </row>
    <row r="328" spans="1:7" x14ac:dyDescent="0.3">
      <c r="A328" s="2" t="s">
        <v>44</v>
      </c>
      <c r="B328" s="2" t="s">
        <v>30</v>
      </c>
      <c r="C328" s="2" t="s">
        <v>25</v>
      </c>
      <c r="D328" s="2" t="s">
        <v>89</v>
      </c>
      <c r="E328" s="2" t="s">
        <v>158</v>
      </c>
      <c r="F328" s="2">
        <v>11456024084961.979</v>
      </c>
      <c r="G328" s="2" t="str">
        <f>Table1_1[[#This Row],[Country Name]]&amp;"|"&amp;Table1_1[[#This Row],[Series Name]]&amp;"|"&amp;Table1_1[[#This Row],[Years]]</f>
        <v>China|GDP (current US$)|2016</v>
      </c>
    </row>
    <row r="329" spans="1:7" x14ac:dyDescent="0.3">
      <c r="A329" s="2" t="s">
        <v>44</v>
      </c>
      <c r="B329" s="2" t="s">
        <v>30</v>
      </c>
      <c r="C329" s="2" t="s">
        <v>25</v>
      </c>
      <c r="D329" s="2" t="s">
        <v>89</v>
      </c>
      <c r="E329" s="2" t="s">
        <v>159</v>
      </c>
      <c r="F329" s="2">
        <v>12537559062282.92</v>
      </c>
      <c r="G329" s="2" t="str">
        <f>Table1_1[[#This Row],[Country Name]]&amp;"|"&amp;Table1_1[[#This Row],[Series Name]]&amp;"|"&amp;Table1_1[[#This Row],[Years]]</f>
        <v>China|GDP (current US$)|2017</v>
      </c>
    </row>
    <row r="330" spans="1:7" x14ac:dyDescent="0.3">
      <c r="A330" s="2" t="s">
        <v>44</v>
      </c>
      <c r="B330" s="2" t="s">
        <v>30</v>
      </c>
      <c r="C330" s="2" t="s">
        <v>25</v>
      </c>
      <c r="D330" s="2" t="s">
        <v>89</v>
      </c>
      <c r="E330" s="2" t="s">
        <v>160</v>
      </c>
      <c r="F330" s="2">
        <v>14147765772963.76</v>
      </c>
      <c r="G330" s="2" t="str">
        <f>Table1_1[[#This Row],[Country Name]]&amp;"|"&amp;Table1_1[[#This Row],[Series Name]]&amp;"|"&amp;Table1_1[[#This Row],[Years]]</f>
        <v>China|GDP (current US$)|2018</v>
      </c>
    </row>
    <row r="331" spans="1:7" x14ac:dyDescent="0.3">
      <c r="A331" s="2" t="s">
        <v>44</v>
      </c>
      <c r="B331" s="2" t="s">
        <v>30</v>
      </c>
      <c r="C331" s="2" t="s">
        <v>25</v>
      </c>
      <c r="D331" s="2" t="s">
        <v>89</v>
      </c>
      <c r="E331" s="2" t="s">
        <v>161</v>
      </c>
      <c r="F331" s="2">
        <v>14560167101283.439</v>
      </c>
      <c r="G331" s="2" t="str">
        <f>Table1_1[[#This Row],[Country Name]]&amp;"|"&amp;Table1_1[[#This Row],[Series Name]]&amp;"|"&amp;Table1_1[[#This Row],[Years]]</f>
        <v>China|GDP (current US$)|2019</v>
      </c>
    </row>
    <row r="332" spans="1:7" x14ac:dyDescent="0.3">
      <c r="A332" s="2" t="s">
        <v>44</v>
      </c>
      <c r="B332" s="2" t="s">
        <v>30</v>
      </c>
      <c r="C332" s="2" t="s">
        <v>25</v>
      </c>
      <c r="D332" s="2" t="s">
        <v>89</v>
      </c>
      <c r="E332" s="2" t="s">
        <v>162</v>
      </c>
      <c r="F332" s="2">
        <v>14996414166715.092</v>
      </c>
      <c r="G332" s="2" t="str">
        <f>Table1_1[[#This Row],[Country Name]]&amp;"|"&amp;Table1_1[[#This Row],[Series Name]]&amp;"|"&amp;Table1_1[[#This Row],[Years]]</f>
        <v>China|GDP (current US$)|2020</v>
      </c>
    </row>
    <row r="333" spans="1:7" x14ac:dyDescent="0.3">
      <c r="A333" s="2" t="s">
        <v>44</v>
      </c>
      <c r="B333" s="2" t="s">
        <v>30</v>
      </c>
      <c r="C333" s="2" t="s">
        <v>25</v>
      </c>
      <c r="D333" s="2" t="s">
        <v>89</v>
      </c>
      <c r="E333" s="2" t="s">
        <v>163</v>
      </c>
      <c r="F333" s="2">
        <v>18201698719563.961</v>
      </c>
      <c r="G333" s="2" t="str">
        <f>Table1_1[[#This Row],[Country Name]]&amp;"|"&amp;Table1_1[[#This Row],[Series Name]]&amp;"|"&amp;Table1_1[[#This Row],[Years]]</f>
        <v>China|GDP (current US$)|2021</v>
      </c>
    </row>
    <row r="334" spans="1:7" x14ac:dyDescent="0.3">
      <c r="A334" s="2" t="s">
        <v>44</v>
      </c>
      <c r="B334" s="2" t="s">
        <v>30</v>
      </c>
      <c r="C334" s="2" t="s">
        <v>25</v>
      </c>
      <c r="D334" s="2" t="s">
        <v>89</v>
      </c>
      <c r="E334" s="2" t="s">
        <v>164</v>
      </c>
      <c r="F334" s="2">
        <v>18316765021690.156</v>
      </c>
      <c r="G334" s="2" t="str">
        <f>Table1_1[[#This Row],[Country Name]]&amp;"|"&amp;Table1_1[[#This Row],[Series Name]]&amp;"|"&amp;Table1_1[[#This Row],[Years]]</f>
        <v>China|GDP (current US$)|2022</v>
      </c>
    </row>
    <row r="335" spans="1:7" x14ac:dyDescent="0.3">
      <c r="A335" s="2" t="s">
        <v>44</v>
      </c>
      <c r="B335" s="2" t="s">
        <v>30</v>
      </c>
      <c r="C335" s="2" t="s">
        <v>25</v>
      </c>
      <c r="D335" s="2" t="s">
        <v>89</v>
      </c>
      <c r="E335" s="2" t="s">
        <v>165</v>
      </c>
      <c r="F335" s="2">
        <v>18270356654533.215</v>
      </c>
      <c r="G335" s="2" t="str">
        <f>Table1_1[[#This Row],[Country Name]]&amp;"|"&amp;Table1_1[[#This Row],[Series Name]]&amp;"|"&amp;Table1_1[[#This Row],[Years]]</f>
        <v>China|GDP (current US$)|2023</v>
      </c>
    </row>
    <row r="336" spans="1:7" x14ac:dyDescent="0.3">
      <c r="A336" s="2" t="s">
        <v>44</v>
      </c>
      <c r="B336" s="2" t="s">
        <v>30</v>
      </c>
      <c r="C336" s="2" t="s">
        <v>25</v>
      </c>
      <c r="D336" s="2" t="s">
        <v>89</v>
      </c>
      <c r="E336" s="2" t="s">
        <v>166</v>
      </c>
      <c r="F336" s="2">
        <v>18729668435847.992</v>
      </c>
      <c r="G336" s="2" t="str">
        <f>Table1_1[[#This Row],[Country Name]]&amp;"|"&amp;Table1_1[[#This Row],[Series Name]]&amp;"|"&amp;Table1_1[[#This Row],[Years]]</f>
        <v>China|GDP (current US$)|2024</v>
      </c>
    </row>
    <row r="337" spans="1:7" x14ac:dyDescent="0.3">
      <c r="A337" s="2" t="s">
        <v>44</v>
      </c>
      <c r="B337" s="2" t="s">
        <v>30</v>
      </c>
      <c r="C337" s="2" t="s">
        <v>25</v>
      </c>
      <c r="D337" s="2" t="s">
        <v>89</v>
      </c>
      <c r="E337" s="2" t="s">
        <v>167</v>
      </c>
      <c r="F337" s="2">
        <v>19498039388042.609</v>
      </c>
      <c r="G337" s="2" t="str">
        <f>Table1_1[[#This Row],[Country Name]]&amp;"|"&amp;Table1_1[[#This Row],[Series Name]]&amp;"|"&amp;Table1_1[[#This Row],[Years]]</f>
        <v>China|GDP (current US$)|2025</v>
      </c>
    </row>
    <row r="338" spans="1:7" x14ac:dyDescent="0.3">
      <c r="A338" s="2" t="s">
        <v>44</v>
      </c>
      <c r="B338" s="2" t="s">
        <v>30</v>
      </c>
      <c r="C338" s="2" t="s">
        <v>67</v>
      </c>
      <c r="D338" s="2" t="s">
        <v>24</v>
      </c>
      <c r="E338" s="2" t="s">
        <v>152</v>
      </c>
      <c r="F338" s="2">
        <v>10.591690388570441</v>
      </c>
      <c r="G338" s="2" t="str">
        <f>Table1_1[[#This Row],[Country Name]]&amp;"|"&amp;Table1_1[[#This Row],[Series Name]]&amp;"|"&amp;Table1_1[[#This Row],[Years]]</f>
        <v>China|GDP growth (annual %)|2010</v>
      </c>
    </row>
    <row r="339" spans="1:7" x14ac:dyDescent="0.3">
      <c r="A339" s="2" t="s">
        <v>44</v>
      </c>
      <c r="B339" s="2" t="s">
        <v>30</v>
      </c>
      <c r="C339" s="2" t="s">
        <v>67</v>
      </c>
      <c r="D339" s="2" t="s">
        <v>24</v>
      </c>
      <c r="E339" s="2" t="s">
        <v>153</v>
      </c>
      <c r="F339" s="2">
        <v>9.4620524829818606</v>
      </c>
      <c r="G339" s="2" t="str">
        <f>Table1_1[[#This Row],[Country Name]]&amp;"|"&amp;Table1_1[[#This Row],[Series Name]]&amp;"|"&amp;Table1_1[[#This Row],[Years]]</f>
        <v>China|GDP growth (annual %)|2011</v>
      </c>
    </row>
    <row r="340" spans="1:7" x14ac:dyDescent="0.3">
      <c r="A340" s="2" t="s">
        <v>44</v>
      </c>
      <c r="B340" s="2" t="s">
        <v>30</v>
      </c>
      <c r="C340" s="2" t="s">
        <v>67</v>
      </c>
      <c r="D340" s="2" t="s">
        <v>24</v>
      </c>
      <c r="E340" s="2" t="s">
        <v>154</v>
      </c>
      <c r="F340" s="2">
        <v>7.8578201481217036</v>
      </c>
      <c r="G340" s="2" t="str">
        <f>Table1_1[[#This Row],[Country Name]]&amp;"|"&amp;Table1_1[[#This Row],[Series Name]]&amp;"|"&amp;Table1_1[[#This Row],[Years]]</f>
        <v>China|GDP growth (annual %)|2012</v>
      </c>
    </row>
    <row r="341" spans="1:7" x14ac:dyDescent="0.3">
      <c r="A341" s="2" t="s">
        <v>44</v>
      </c>
      <c r="B341" s="2" t="s">
        <v>30</v>
      </c>
      <c r="C341" s="2" t="s">
        <v>67</v>
      </c>
      <c r="D341" s="2" t="s">
        <v>24</v>
      </c>
      <c r="E341" s="2" t="s">
        <v>155</v>
      </c>
      <c r="F341" s="2">
        <v>7.7784295475725713</v>
      </c>
      <c r="G341" s="2" t="str">
        <f>Table1_1[[#This Row],[Country Name]]&amp;"|"&amp;Table1_1[[#This Row],[Series Name]]&amp;"|"&amp;Table1_1[[#This Row],[Years]]</f>
        <v>China|GDP growth (annual %)|2013</v>
      </c>
    </row>
    <row r="342" spans="1:7" x14ac:dyDescent="0.3">
      <c r="A342" s="2" t="s">
        <v>44</v>
      </c>
      <c r="B342" s="2" t="s">
        <v>30</v>
      </c>
      <c r="C342" s="2" t="s">
        <v>67</v>
      </c>
      <c r="D342" s="2" t="s">
        <v>24</v>
      </c>
      <c r="E342" s="2" t="s">
        <v>156</v>
      </c>
      <c r="F342" s="2">
        <v>7.4610073577816109</v>
      </c>
      <c r="G342" s="2" t="str">
        <f>Table1_1[[#This Row],[Country Name]]&amp;"|"&amp;Table1_1[[#This Row],[Series Name]]&amp;"|"&amp;Table1_1[[#This Row],[Years]]</f>
        <v>China|GDP growth (annual %)|2014</v>
      </c>
    </row>
    <row r="343" spans="1:7" x14ac:dyDescent="0.3">
      <c r="A343" s="2" t="s">
        <v>44</v>
      </c>
      <c r="B343" s="2" t="s">
        <v>30</v>
      </c>
      <c r="C343" s="2" t="s">
        <v>67</v>
      </c>
      <c r="D343" s="2" t="s">
        <v>24</v>
      </c>
      <c r="E343" s="2" t="s">
        <v>157</v>
      </c>
      <c r="F343" s="2">
        <v>6.9816225556236731</v>
      </c>
      <c r="G343" s="2" t="str">
        <f>Table1_1[[#This Row],[Country Name]]&amp;"|"&amp;Table1_1[[#This Row],[Series Name]]&amp;"|"&amp;Table1_1[[#This Row],[Years]]</f>
        <v>China|GDP growth (annual %)|2015</v>
      </c>
    </row>
    <row r="344" spans="1:7" x14ac:dyDescent="0.3">
      <c r="A344" s="2" t="s">
        <v>44</v>
      </c>
      <c r="B344" s="2" t="s">
        <v>30</v>
      </c>
      <c r="C344" s="2" t="s">
        <v>67</v>
      </c>
      <c r="D344" s="2" t="s">
        <v>24</v>
      </c>
      <c r="E344" s="2" t="s">
        <v>158</v>
      </c>
      <c r="F344" s="2">
        <v>6.7736886867727009</v>
      </c>
      <c r="G344" s="2" t="str">
        <f>Table1_1[[#This Row],[Country Name]]&amp;"|"&amp;Table1_1[[#This Row],[Series Name]]&amp;"|"&amp;Table1_1[[#This Row],[Years]]</f>
        <v>China|GDP growth (annual %)|2016</v>
      </c>
    </row>
    <row r="345" spans="1:7" x14ac:dyDescent="0.3">
      <c r="A345" s="2" t="s">
        <v>44</v>
      </c>
      <c r="B345" s="2" t="s">
        <v>30</v>
      </c>
      <c r="C345" s="2" t="s">
        <v>67</v>
      </c>
      <c r="D345" s="2" t="s">
        <v>24</v>
      </c>
      <c r="E345" s="2" t="s">
        <v>159</v>
      </c>
      <c r="F345" s="2">
        <v>6.8912391663619132</v>
      </c>
      <c r="G345" s="2" t="str">
        <f>Table1_1[[#This Row],[Country Name]]&amp;"|"&amp;Table1_1[[#This Row],[Series Name]]&amp;"|"&amp;Table1_1[[#This Row],[Years]]</f>
        <v>China|GDP growth (annual %)|2017</v>
      </c>
    </row>
    <row r="346" spans="1:7" x14ac:dyDescent="0.3">
      <c r="A346" s="2" t="s">
        <v>44</v>
      </c>
      <c r="B346" s="2" t="s">
        <v>30</v>
      </c>
      <c r="C346" s="2" t="s">
        <v>67</v>
      </c>
      <c r="D346" s="2" t="s">
        <v>24</v>
      </c>
      <c r="E346" s="2" t="s">
        <v>160</v>
      </c>
      <c r="F346" s="2">
        <v>6.7578061423240001</v>
      </c>
      <c r="G346" s="2" t="str">
        <f>Table1_1[[#This Row],[Country Name]]&amp;"|"&amp;Table1_1[[#This Row],[Series Name]]&amp;"|"&amp;Table1_1[[#This Row],[Years]]</f>
        <v>China|GDP growth (annual %)|2018</v>
      </c>
    </row>
    <row r="347" spans="1:7" x14ac:dyDescent="0.3">
      <c r="A347" s="2" t="s">
        <v>44</v>
      </c>
      <c r="B347" s="2" t="s">
        <v>30</v>
      </c>
      <c r="C347" s="2" t="s">
        <v>67</v>
      </c>
      <c r="D347" s="2" t="s">
        <v>24</v>
      </c>
      <c r="E347" s="2" t="s">
        <v>161</v>
      </c>
      <c r="F347" s="2">
        <v>6.0673780633367187</v>
      </c>
      <c r="G347" s="2" t="str">
        <f>Table1_1[[#This Row],[Country Name]]&amp;"|"&amp;Table1_1[[#This Row],[Series Name]]&amp;"|"&amp;Table1_1[[#This Row],[Years]]</f>
        <v>China|GDP growth (annual %)|2019</v>
      </c>
    </row>
    <row r="348" spans="1:7" x14ac:dyDescent="0.3">
      <c r="A348" s="2" t="s">
        <v>44</v>
      </c>
      <c r="B348" s="2" t="s">
        <v>30</v>
      </c>
      <c r="C348" s="2" t="s">
        <v>67</v>
      </c>
      <c r="D348" s="2" t="s">
        <v>24</v>
      </c>
      <c r="E348" s="2" t="s">
        <v>162</v>
      </c>
      <c r="F348" s="2">
        <v>2.3395038520302336</v>
      </c>
      <c r="G348" s="2" t="str">
        <f>Table1_1[[#This Row],[Country Name]]&amp;"|"&amp;Table1_1[[#This Row],[Series Name]]&amp;"|"&amp;Table1_1[[#This Row],[Years]]</f>
        <v>China|GDP growth (annual %)|2020</v>
      </c>
    </row>
    <row r="349" spans="1:7" x14ac:dyDescent="0.3">
      <c r="A349" s="2" t="s">
        <v>44</v>
      </c>
      <c r="B349" s="2" t="s">
        <v>30</v>
      </c>
      <c r="C349" s="2" t="s">
        <v>67</v>
      </c>
      <c r="D349" s="2" t="s">
        <v>24</v>
      </c>
      <c r="E349" s="2" t="s">
        <v>163</v>
      </c>
      <c r="F349" s="2">
        <v>8.5703841498178122</v>
      </c>
      <c r="G349" s="2" t="str">
        <f>Table1_1[[#This Row],[Country Name]]&amp;"|"&amp;Table1_1[[#This Row],[Series Name]]&amp;"|"&amp;Table1_1[[#This Row],[Years]]</f>
        <v>China|GDP growth (annual %)|2021</v>
      </c>
    </row>
    <row r="350" spans="1:7" x14ac:dyDescent="0.3">
      <c r="A350" s="2" t="s">
        <v>44</v>
      </c>
      <c r="B350" s="2" t="s">
        <v>30</v>
      </c>
      <c r="C350" s="2" t="s">
        <v>67</v>
      </c>
      <c r="D350" s="2" t="s">
        <v>24</v>
      </c>
      <c r="E350" s="2" t="s">
        <v>164</v>
      </c>
      <c r="F350" s="2">
        <v>3.1338543839406867</v>
      </c>
      <c r="G350" s="2" t="str">
        <f>Table1_1[[#This Row],[Country Name]]&amp;"|"&amp;Table1_1[[#This Row],[Series Name]]&amp;"|"&amp;Table1_1[[#This Row],[Years]]</f>
        <v>China|GDP growth (annual %)|2022</v>
      </c>
    </row>
    <row r="351" spans="1:7" x14ac:dyDescent="0.3">
      <c r="A351" s="2" t="s">
        <v>44</v>
      </c>
      <c r="B351" s="2" t="s">
        <v>30</v>
      </c>
      <c r="C351" s="2" t="s">
        <v>67</v>
      </c>
      <c r="D351" s="2" t="s">
        <v>24</v>
      </c>
      <c r="E351" s="2" t="s">
        <v>165</v>
      </c>
      <c r="F351" s="2">
        <v>5.4160033449295497</v>
      </c>
      <c r="G351" s="2" t="str">
        <f>Table1_1[[#This Row],[Country Name]]&amp;"|"&amp;Table1_1[[#This Row],[Series Name]]&amp;"|"&amp;Table1_1[[#This Row],[Years]]</f>
        <v>China|GDP growth (annual %)|2023</v>
      </c>
    </row>
    <row r="352" spans="1:7" x14ac:dyDescent="0.3">
      <c r="A352" s="2" t="s">
        <v>44</v>
      </c>
      <c r="B352" s="2" t="s">
        <v>30</v>
      </c>
      <c r="C352" s="2" t="s">
        <v>67</v>
      </c>
      <c r="D352" s="2" t="s">
        <v>24</v>
      </c>
      <c r="E352" s="2" t="s">
        <v>166</v>
      </c>
      <c r="F352" s="2">
        <v>4.958303787880908</v>
      </c>
      <c r="G352" s="2" t="str">
        <f>Table1_1[[#This Row],[Country Name]]&amp;"|"&amp;Table1_1[[#This Row],[Series Name]]&amp;"|"&amp;Table1_1[[#This Row],[Years]]</f>
        <v>China|GDP growth (annual %)|2024</v>
      </c>
    </row>
    <row r="353" spans="1:7" x14ac:dyDescent="0.3">
      <c r="A353" s="2" t="s">
        <v>44</v>
      </c>
      <c r="B353" s="2" t="s">
        <v>30</v>
      </c>
      <c r="C353" s="2" t="s">
        <v>67</v>
      </c>
      <c r="D353" s="2" t="s">
        <v>24</v>
      </c>
      <c r="E353" s="2" t="s">
        <v>167</v>
      </c>
      <c r="F353" s="2">
        <v>4.9599488624099166</v>
      </c>
      <c r="G353" s="2" t="str">
        <f>Table1_1[[#This Row],[Country Name]]&amp;"|"&amp;Table1_1[[#This Row],[Series Name]]&amp;"|"&amp;Table1_1[[#This Row],[Years]]</f>
        <v>China|GDP growth (annual %)|2025</v>
      </c>
    </row>
    <row r="354" spans="1:7" x14ac:dyDescent="0.3">
      <c r="A354" s="2" t="s">
        <v>44</v>
      </c>
      <c r="B354" s="2" t="s">
        <v>30</v>
      </c>
      <c r="C354" s="2" t="s">
        <v>79</v>
      </c>
      <c r="D354" s="2" t="s">
        <v>91</v>
      </c>
      <c r="E354" s="2" t="s">
        <v>152</v>
      </c>
      <c r="F354" s="2">
        <v>3.1753247526919912</v>
      </c>
      <c r="G354" s="2" t="str">
        <f>Table1_1[[#This Row],[Country Name]]&amp;"|"&amp;Table1_1[[#This Row],[Series Name]]&amp;"|"&amp;Table1_1[[#This Row],[Years]]</f>
        <v>China|Inflation, consumer prices (annual %)|2010</v>
      </c>
    </row>
    <row r="355" spans="1:7" x14ac:dyDescent="0.3">
      <c r="A355" s="2" t="s">
        <v>44</v>
      </c>
      <c r="B355" s="2" t="s">
        <v>30</v>
      </c>
      <c r="C355" s="2" t="s">
        <v>79</v>
      </c>
      <c r="D355" s="2" t="s">
        <v>91</v>
      </c>
      <c r="E355" s="2" t="s">
        <v>153</v>
      </c>
      <c r="F355" s="2">
        <v>5.5538989225749322</v>
      </c>
      <c r="G355" s="2" t="str">
        <f>Table1_1[[#This Row],[Country Name]]&amp;"|"&amp;Table1_1[[#This Row],[Series Name]]&amp;"|"&amp;Table1_1[[#This Row],[Years]]</f>
        <v>China|Inflation, consumer prices (annual %)|2011</v>
      </c>
    </row>
    <row r="356" spans="1:7" x14ac:dyDescent="0.3">
      <c r="A356" s="2" t="s">
        <v>44</v>
      </c>
      <c r="B356" s="2" t="s">
        <v>30</v>
      </c>
      <c r="C356" s="2" t="s">
        <v>79</v>
      </c>
      <c r="D356" s="2" t="s">
        <v>91</v>
      </c>
      <c r="E356" s="2" t="s">
        <v>154</v>
      </c>
      <c r="F356" s="2">
        <v>2.619524326455406</v>
      </c>
      <c r="G356" s="2" t="str">
        <f>Table1_1[[#This Row],[Country Name]]&amp;"|"&amp;Table1_1[[#This Row],[Series Name]]&amp;"|"&amp;Table1_1[[#This Row],[Years]]</f>
        <v>China|Inflation, consumer prices (annual %)|2012</v>
      </c>
    </row>
    <row r="357" spans="1:7" x14ac:dyDescent="0.3">
      <c r="A357" s="2" t="s">
        <v>44</v>
      </c>
      <c r="B357" s="2" t="s">
        <v>30</v>
      </c>
      <c r="C357" s="2" t="s">
        <v>79</v>
      </c>
      <c r="D357" s="2" t="s">
        <v>91</v>
      </c>
      <c r="E357" s="2" t="s">
        <v>155</v>
      </c>
      <c r="F357" s="2">
        <v>2.621050017481148</v>
      </c>
      <c r="G357" s="2" t="str">
        <f>Table1_1[[#This Row],[Country Name]]&amp;"|"&amp;Table1_1[[#This Row],[Series Name]]&amp;"|"&amp;Table1_1[[#This Row],[Years]]</f>
        <v>China|Inflation, consumer prices (annual %)|2013</v>
      </c>
    </row>
    <row r="358" spans="1:7" x14ac:dyDescent="0.3">
      <c r="A358" s="2" t="s">
        <v>44</v>
      </c>
      <c r="B358" s="2" t="s">
        <v>30</v>
      </c>
      <c r="C358" s="2" t="s">
        <v>79</v>
      </c>
      <c r="D358" s="2" t="s">
        <v>91</v>
      </c>
      <c r="E358" s="2" t="s">
        <v>156</v>
      </c>
      <c r="F358" s="2">
        <v>1.921641627885208</v>
      </c>
      <c r="G358" s="2" t="str">
        <f>Table1_1[[#This Row],[Country Name]]&amp;"|"&amp;Table1_1[[#This Row],[Series Name]]&amp;"|"&amp;Table1_1[[#This Row],[Years]]</f>
        <v>China|Inflation, consumer prices (annual %)|2014</v>
      </c>
    </row>
    <row r="359" spans="1:7" x14ac:dyDescent="0.3">
      <c r="A359" s="2" t="s">
        <v>44</v>
      </c>
      <c r="B359" s="2" t="s">
        <v>30</v>
      </c>
      <c r="C359" s="2" t="s">
        <v>79</v>
      </c>
      <c r="D359" s="2" t="s">
        <v>91</v>
      </c>
      <c r="E359" s="2" t="s">
        <v>157</v>
      </c>
      <c r="F359" s="2">
        <v>1.4370238093565479</v>
      </c>
      <c r="G359" s="2" t="str">
        <f>Table1_1[[#This Row],[Country Name]]&amp;"|"&amp;Table1_1[[#This Row],[Series Name]]&amp;"|"&amp;Table1_1[[#This Row],[Years]]</f>
        <v>China|Inflation, consumer prices (annual %)|2015</v>
      </c>
    </row>
    <row r="360" spans="1:7" x14ac:dyDescent="0.3">
      <c r="A360" s="2" t="s">
        <v>44</v>
      </c>
      <c r="B360" s="2" t="s">
        <v>30</v>
      </c>
      <c r="C360" s="2" t="s">
        <v>79</v>
      </c>
      <c r="D360" s="2" t="s">
        <v>91</v>
      </c>
      <c r="E360" s="2" t="s">
        <v>158</v>
      </c>
      <c r="F360" s="2">
        <v>2.000001821919434</v>
      </c>
      <c r="G360" s="2" t="str">
        <f>Table1_1[[#This Row],[Country Name]]&amp;"|"&amp;Table1_1[[#This Row],[Series Name]]&amp;"|"&amp;Table1_1[[#This Row],[Years]]</f>
        <v>China|Inflation, consumer prices (annual %)|2016</v>
      </c>
    </row>
    <row r="361" spans="1:7" x14ac:dyDescent="0.3">
      <c r="A361" s="2" t="s">
        <v>44</v>
      </c>
      <c r="B361" s="2" t="s">
        <v>30</v>
      </c>
      <c r="C361" s="2" t="s">
        <v>79</v>
      </c>
      <c r="D361" s="2" t="s">
        <v>91</v>
      </c>
      <c r="E361" s="2" t="s">
        <v>159</v>
      </c>
      <c r="F361" s="2">
        <v>1.593136000714356</v>
      </c>
      <c r="G361" s="2" t="str">
        <f>Table1_1[[#This Row],[Country Name]]&amp;"|"&amp;Table1_1[[#This Row],[Series Name]]&amp;"|"&amp;Table1_1[[#This Row],[Years]]</f>
        <v>China|Inflation, consumer prices (annual %)|2017</v>
      </c>
    </row>
    <row r="362" spans="1:7" x14ac:dyDescent="0.3">
      <c r="A362" s="2" t="s">
        <v>44</v>
      </c>
      <c r="B362" s="2" t="s">
        <v>30</v>
      </c>
      <c r="C362" s="2" t="s">
        <v>79</v>
      </c>
      <c r="D362" s="2" t="s">
        <v>91</v>
      </c>
      <c r="E362" s="2" t="s">
        <v>160</v>
      </c>
      <c r="F362" s="2">
        <v>2.0747903996557602</v>
      </c>
      <c r="G362" s="2" t="str">
        <f>Table1_1[[#This Row],[Country Name]]&amp;"|"&amp;Table1_1[[#This Row],[Series Name]]&amp;"|"&amp;Table1_1[[#This Row],[Years]]</f>
        <v>China|Inflation, consumer prices (annual %)|2018</v>
      </c>
    </row>
    <row r="363" spans="1:7" x14ac:dyDescent="0.3">
      <c r="A363" s="2" t="s">
        <v>44</v>
      </c>
      <c r="B363" s="2" t="s">
        <v>30</v>
      </c>
      <c r="C363" s="2" t="s">
        <v>79</v>
      </c>
      <c r="D363" s="2" t="s">
        <v>91</v>
      </c>
      <c r="E363" s="2" t="s">
        <v>161</v>
      </c>
      <c r="F363" s="2">
        <v>2.8992341635822672</v>
      </c>
      <c r="G363" s="2" t="str">
        <f>Table1_1[[#This Row],[Country Name]]&amp;"|"&amp;Table1_1[[#This Row],[Series Name]]&amp;"|"&amp;Table1_1[[#This Row],[Years]]</f>
        <v>China|Inflation, consumer prices (annual %)|2019</v>
      </c>
    </row>
    <row r="364" spans="1:7" x14ac:dyDescent="0.3">
      <c r="A364" s="2" t="s">
        <v>44</v>
      </c>
      <c r="B364" s="2" t="s">
        <v>30</v>
      </c>
      <c r="C364" s="2" t="s">
        <v>79</v>
      </c>
      <c r="D364" s="2" t="s">
        <v>91</v>
      </c>
      <c r="E364" s="2" t="s">
        <v>162</v>
      </c>
      <c r="F364" s="2">
        <v>2.4194218945778232</v>
      </c>
      <c r="G364" s="2" t="str">
        <f>Table1_1[[#This Row],[Country Name]]&amp;"|"&amp;Table1_1[[#This Row],[Series Name]]&amp;"|"&amp;Table1_1[[#This Row],[Years]]</f>
        <v>China|Inflation, consumer prices (annual %)|2020</v>
      </c>
    </row>
    <row r="365" spans="1:7" x14ac:dyDescent="0.3">
      <c r="A365" s="2" t="s">
        <v>44</v>
      </c>
      <c r="B365" s="2" t="s">
        <v>30</v>
      </c>
      <c r="C365" s="2" t="s">
        <v>79</v>
      </c>
      <c r="D365" s="2" t="s">
        <v>91</v>
      </c>
      <c r="E365" s="2" t="s">
        <v>163</v>
      </c>
      <c r="F365" s="2">
        <v>0.98101513554488162</v>
      </c>
      <c r="G365" s="2" t="str">
        <f>Table1_1[[#This Row],[Country Name]]&amp;"|"&amp;Table1_1[[#This Row],[Series Name]]&amp;"|"&amp;Table1_1[[#This Row],[Years]]</f>
        <v>China|Inflation, consumer prices (annual %)|2021</v>
      </c>
    </row>
    <row r="366" spans="1:7" x14ac:dyDescent="0.3">
      <c r="A366" s="2" t="s">
        <v>44</v>
      </c>
      <c r="B366" s="2" t="s">
        <v>30</v>
      </c>
      <c r="C366" s="2" t="s">
        <v>79</v>
      </c>
      <c r="D366" s="2" t="s">
        <v>91</v>
      </c>
      <c r="E366" s="2" t="s">
        <v>164</v>
      </c>
      <c r="F366" s="2">
        <v>1.9735755573905061</v>
      </c>
      <c r="G366" s="2" t="str">
        <f>Table1_1[[#This Row],[Country Name]]&amp;"|"&amp;Table1_1[[#This Row],[Series Name]]&amp;"|"&amp;Table1_1[[#This Row],[Years]]</f>
        <v>China|Inflation, consumer prices (annual %)|2022</v>
      </c>
    </row>
    <row r="367" spans="1:7" x14ac:dyDescent="0.3">
      <c r="A367" s="2" t="s">
        <v>44</v>
      </c>
      <c r="B367" s="2" t="s">
        <v>30</v>
      </c>
      <c r="C367" s="2" t="s">
        <v>79</v>
      </c>
      <c r="D367" s="2" t="s">
        <v>91</v>
      </c>
      <c r="E367" s="2" t="s">
        <v>165</v>
      </c>
      <c r="F367" s="2">
        <v>0.2348368288930508</v>
      </c>
      <c r="G367" s="2" t="str">
        <f>Table1_1[[#This Row],[Country Name]]&amp;"|"&amp;Table1_1[[#This Row],[Series Name]]&amp;"|"&amp;Table1_1[[#This Row],[Years]]</f>
        <v>China|Inflation, consumer prices (annual %)|2023</v>
      </c>
    </row>
    <row r="368" spans="1:7" x14ac:dyDescent="0.3">
      <c r="A368" s="2" t="s">
        <v>44</v>
      </c>
      <c r="B368" s="2" t="s">
        <v>30</v>
      </c>
      <c r="C368" s="2" t="s">
        <v>79</v>
      </c>
      <c r="D368" s="2" t="s">
        <v>91</v>
      </c>
      <c r="E368" s="2" t="s">
        <v>166</v>
      </c>
      <c r="F368" s="2">
        <v>0.21812893843917719</v>
      </c>
      <c r="G368" s="2" t="str">
        <f>Table1_1[[#This Row],[Country Name]]&amp;"|"&amp;Table1_1[[#This Row],[Series Name]]&amp;"|"&amp;Table1_1[[#This Row],[Years]]</f>
        <v>China|Inflation, consumer prices (annual %)|2024</v>
      </c>
    </row>
    <row r="369" spans="1:7" x14ac:dyDescent="0.3">
      <c r="A369" s="2" t="s">
        <v>44</v>
      </c>
      <c r="B369" s="2" t="s">
        <v>30</v>
      </c>
      <c r="C369" s="2" t="s">
        <v>79</v>
      </c>
      <c r="D369" s="2" t="s">
        <v>91</v>
      </c>
      <c r="E369" s="2" t="s">
        <v>167</v>
      </c>
      <c r="F369" s="2">
        <v>5.9564691656540263E-2</v>
      </c>
      <c r="G369" s="2" t="str">
        <f>Table1_1[[#This Row],[Country Name]]&amp;"|"&amp;Table1_1[[#This Row],[Series Name]]&amp;"|"&amp;Table1_1[[#This Row],[Years]]</f>
        <v>China|Inflation, consumer prices (annual %)|2025</v>
      </c>
    </row>
    <row r="370" spans="1:7" x14ac:dyDescent="0.3">
      <c r="A370" s="2" t="s">
        <v>44</v>
      </c>
      <c r="B370" s="2" t="s">
        <v>30</v>
      </c>
      <c r="C370" s="2" t="s">
        <v>146</v>
      </c>
      <c r="D370" s="2" t="s">
        <v>131</v>
      </c>
      <c r="E370" s="2" t="s">
        <v>152</v>
      </c>
      <c r="F370" s="2">
        <v>4.53</v>
      </c>
      <c r="G370" s="2" t="str">
        <f>Table1_1[[#This Row],[Country Name]]&amp;"|"&amp;Table1_1[[#This Row],[Series Name]]&amp;"|"&amp;Table1_1[[#This Row],[Years]]</f>
        <v>China|Unemployment, total (% of total labor force) (modeled ILO estimate)|2010</v>
      </c>
    </row>
    <row r="371" spans="1:7" x14ac:dyDescent="0.3">
      <c r="A371" s="2" t="s">
        <v>44</v>
      </c>
      <c r="B371" s="2" t="s">
        <v>30</v>
      </c>
      <c r="C371" s="2" t="s">
        <v>146</v>
      </c>
      <c r="D371" s="2" t="s">
        <v>131</v>
      </c>
      <c r="E371" s="2" t="s">
        <v>153</v>
      </c>
      <c r="F371" s="2">
        <v>4.55</v>
      </c>
      <c r="G371" s="2" t="str">
        <f>Table1_1[[#This Row],[Country Name]]&amp;"|"&amp;Table1_1[[#This Row],[Series Name]]&amp;"|"&amp;Table1_1[[#This Row],[Years]]</f>
        <v>China|Unemployment, total (% of total labor force) (modeled ILO estimate)|2011</v>
      </c>
    </row>
    <row r="372" spans="1:7" x14ac:dyDescent="0.3">
      <c r="A372" s="2" t="s">
        <v>44</v>
      </c>
      <c r="B372" s="2" t="s">
        <v>30</v>
      </c>
      <c r="C372" s="2" t="s">
        <v>146</v>
      </c>
      <c r="D372" s="2" t="s">
        <v>131</v>
      </c>
      <c r="E372" s="2" t="s">
        <v>154</v>
      </c>
      <c r="F372" s="2">
        <v>4.58</v>
      </c>
      <c r="G372" s="2" t="str">
        <f>Table1_1[[#This Row],[Country Name]]&amp;"|"&amp;Table1_1[[#This Row],[Series Name]]&amp;"|"&amp;Table1_1[[#This Row],[Years]]</f>
        <v>China|Unemployment, total (% of total labor force) (modeled ILO estimate)|2012</v>
      </c>
    </row>
    <row r="373" spans="1:7" x14ac:dyDescent="0.3">
      <c r="A373" s="2" t="s">
        <v>44</v>
      </c>
      <c r="B373" s="2" t="s">
        <v>30</v>
      </c>
      <c r="C373" s="2" t="s">
        <v>146</v>
      </c>
      <c r="D373" s="2" t="s">
        <v>131</v>
      </c>
      <c r="E373" s="2" t="s">
        <v>155</v>
      </c>
      <c r="F373" s="2">
        <v>4.5999999999999996</v>
      </c>
      <c r="G373" s="2" t="str">
        <f>Table1_1[[#This Row],[Country Name]]&amp;"|"&amp;Table1_1[[#This Row],[Series Name]]&amp;"|"&amp;Table1_1[[#This Row],[Years]]</f>
        <v>China|Unemployment, total (% of total labor force) (modeled ILO estimate)|2013</v>
      </c>
    </row>
    <row r="374" spans="1:7" x14ac:dyDescent="0.3">
      <c r="A374" s="2" t="s">
        <v>44</v>
      </c>
      <c r="B374" s="2" t="s">
        <v>30</v>
      </c>
      <c r="C374" s="2" t="s">
        <v>146</v>
      </c>
      <c r="D374" s="2" t="s">
        <v>131</v>
      </c>
      <c r="E374" s="2" t="s">
        <v>156</v>
      </c>
      <c r="F374" s="2">
        <v>4.63</v>
      </c>
      <c r="G374" s="2" t="str">
        <f>Table1_1[[#This Row],[Country Name]]&amp;"|"&amp;Table1_1[[#This Row],[Series Name]]&amp;"|"&amp;Table1_1[[#This Row],[Years]]</f>
        <v>China|Unemployment, total (% of total labor force) (modeled ILO estimate)|2014</v>
      </c>
    </row>
    <row r="375" spans="1:7" x14ac:dyDescent="0.3">
      <c r="A375" s="2" t="s">
        <v>44</v>
      </c>
      <c r="B375" s="2" t="s">
        <v>30</v>
      </c>
      <c r="C375" s="2" t="s">
        <v>146</v>
      </c>
      <c r="D375" s="2" t="s">
        <v>131</v>
      </c>
      <c r="E375" s="2" t="s">
        <v>157</v>
      </c>
      <c r="F375" s="2">
        <v>4.6500000000000004</v>
      </c>
      <c r="G375" s="2" t="str">
        <f>Table1_1[[#This Row],[Country Name]]&amp;"|"&amp;Table1_1[[#This Row],[Series Name]]&amp;"|"&amp;Table1_1[[#This Row],[Years]]</f>
        <v>China|Unemployment, total (% of total labor force) (modeled ILO estimate)|2015</v>
      </c>
    </row>
    <row r="376" spans="1:7" x14ac:dyDescent="0.3">
      <c r="A376" s="2" t="s">
        <v>44</v>
      </c>
      <c r="B376" s="2" t="s">
        <v>30</v>
      </c>
      <c r="C376" s="2" t="s">
        <v>146</v>
      </c>
      <c r="D376" s="2" t="s">
        <v>131</v>
      </c>
      <c r="E376" s="2" t="s">
        <v>158</v>
      </c>
      <c r="F376" s="2">
        <v>4.5599999999999996</v>
      </c>
      <c r="G376" s="2" t="str">
        <f>Table1_1[[#This Row],[Country Name]]&amp;"|"&amp;Table1_1[[#This Row],[Series Name]]&amp;"|"&amp;Table1_1[[#This Row],[Years]]</f>
        <v>China|Unemployment, total (% of total labor force) (modeled ILO estimate)|2016</v>
      </c>
    </row>
    <row r="377" spans="1:7" x14ac:dyDescent="0.3">
      <c r="A377" s="2" t="s">
        <v>44</v>
      </c>
      <c r="B377" s="2" t="s">
        <v>30</v>
      </c>
      <c r="C377" s="2" t="s">
        <v>146</v>
      </c>
      <c r="D377" s="2" t="s">
        <v>131</v>
      </c>
      <c r="E377" s="2" t="s">
        <v>159</v>
      </c>
      <c r="F377" s="2">
        <v>4.47</v>
      </c>
      <c r="G377" s="2" t="str">
        <f>Table1_1[[#This Row],[Country Name]]&amp;"|"&amp;Table1_1[[#This Row],[Series Name]]&amp;"|"&amp;Table1_1[[#This Row],[Years]]</f>
        <v>China|Unemployment, total (% of total labor force) (modeled ILO estimate)|2017</v>
      </c>
    </row>
    <row r="378" spans="1:7" x14ac:dyDescent="0.3">
      <c r="A378" s="2" t="s">
        <v>44</v>
      </c>
      <c r="B378" s="2" t="s">
        <v>30</v>
      </c>
      <c r="C378" s="2" t="s">
        <v>146</v>
      </c>
      <c r="D378" s="2" t="s">
        <v>131</v>
      </c>
      <c r="E378" s="2" t="s">
        <v>160</v>
      </c>
      <c r="F378" s="2">
        <v>4.3099999999999996</v>
      </c>
      <c r="G378" s="2" t="str">
        <f>Table1_1[[#This Row],[Country Name]]&amp;"|"&amp;Table1_1[[#This Row],[Series Name]]&amp;"|"&amp;Table1_1[[#This Row],[Years]]</f>
        <v>China|Unemployment, total (% of total labor force) (modeled ILO estimate)|2018</v>
      </c>
    </row>
    <row r="379" spans="1:7" x14ac:dyDescent="0.3">
      <c r="A379" s="2" t="s">
        <v>44</v>
      </c>
      <c r="B379" s="2" t="s">
        <v>30</v>
      </c>
      <c r="C379" s="2" t="s">
        <v>146</v>
      </c>
      <c r="D379" s="2" t="s">
        <v>131</v>
      </c>
      <c r="E379" s="2" t="s">
        <v>161</v>
      </c>
      <c r="F379" s="2">
        <v>4.5599999999999996</v>
      </c>
      <c r="G379" s="2" t="str">
        <f>Table1_1[[#This Row],[Country Name]]&amp;"|"&amp;Table1_1[[#This Row],[Series Name]]&amp;"|"&amp;Table1_1[[#This Row],[Years]]</f>
        <v>China|Unemployment, total (% of total labor force) (modeled ILO estimate)|2019</v>
      </c>
    </row>
    <row r="380" spans="1:7" x14ac:dyDescent="0.3">
      <c r="A380" s="2" t="s">
        <v>44</v>
      </c>
      <c r="B380" s="2" t="s">
        <v>30</v>
      </c>
      <c r="C380" s="2" t="s">
        <v>146</v>
      </c>
      <c r="D380" s="2" t="s">
        <v>131</v>
      </c>
      <c r="E380" s="2" t="s">
        <v>162</v>
      </c>
      <c r="F380" s="2">
        <v>5</v>
      </c>
      <c r="G380" s="2" t="str">
        <f>Table1_1[[#This Row],[Country Name]]&amp;"|"&amp;Table1_1[[#This Row],[Series Name]]&amp;"|"&amp;Table1_1[[#This Row],[Years]]</f>
        <v>China|Unemployment, total (% of total labor force) (modeled ILO estimate)|2020</v>
      </c>
    </row>
    <row r="381" spans="1:7" x14ac:dyDescent="0.3">
      <c r="A381" s="2" t="s">
        <v>44</v>
      </c>
      <c r="B381" s="2" t="s">
        <v>30</v>
      </c>
      <c r="C381" s="2" t="s">
        <v>146</v>
      </c>
      <c r="D381" s="2" t="s">
        <v>131</v>
      </c>
      <c r="E381" s="2" t="s">
        <v>163</v>
      </c>
      <c r="F381" s="2">
        <v>4.55</v>
      </c>
      <c r="G381" s="2" t="str">
        <f>Table1_1[[#This Row],[Country Name]]&amp;"|"&amp;Table1_1[[#This Row],[Series Name]]&amp;"|"&amp;Table1_1[[#This Row],[Years]]</f>
        <v>China|Unemployment, total (% of total labor force) (modeled ILO estimate)|2021</v>
      </c>
    </row>
    <row r="382" spans="1:7" x14ac:dyDescent="0.3">
      <c r="A382" s="2" t="s">
        <v>44</v>
      </c>
      <c r="B382" s="2" t="s">
        <v>30</v>
      </c>
      <c r="C382" s="2" t="s">
        <v>146</v>
      </c>
      <c r="D382" s="2" t="s">
        <v>131</v>
      </c>
      <c r="E382" s="2" t="s">
        <v>164</v>
      </c>
      <c r="F382" s="2">
        <v>4.9800000000000004</v>
      </c>
      <c r="G382" s="2" t="str">
        <f>Table1_1[[#This Row],[Country Name]]&amp;"|"&amp;Table1_1[[#This Row],[Series Name]]&amp;"|"&amp;Table1_1[[#This Row],[Years]]</f>
        <v>China|Unemployment, total (% of total labor force) (modeled ILO estimate)|2022</v>
      </c>
    </row>
    <row r="383" spans="1:7" x14ac:dyDescent="0.3">
      <c r="A383" s="2" t="s">
        <v>44</v>
      </c>
      <c r="B383" s="2" t="s">
        <v>30</v>
      </c>
      <c r="C383" s="2" t="s">
        <v>146</v>
      </c>
      <c r="D383" s="2" t="s">
        <v>131</v>
      </c>
      <c r="E383" s="2" t="s">
        <v>165</v>
      </c>
      <c r="F383" s="2">
        <v>4.67</v>
      </c>
      <c r="G383" s="2" t="str">
        <f>Table1_1[[#This Row],[Country Name]]&amp;"|"&amp;Table1_1[[#This Row],[Series Name]]&amp;"|"&amp;Table1_1[[#This Row],[Years]]</f>
        <v>China|Unemployment, total (% of total labor force) (modeled ILO estimate)|2023</v>
      </c>
    </row>
    <row r="384" spans="1:7" x14ac:dyDescent="0.3">
      <c r="A384" s="2" t="s">
        <v>44</v>
      </c>
      <c r="B384" s="2" t="s">
        <v>30</v>
      </c>
      <c r="C384" s="2" t="s">
        <v>146</v>
      </c>
      <c r="D384" s="2" t="s">
        <v>131</v>
      </c>
      <c r="E384" s="2" t="s">
        <v>166</v>
      </c>
      <c r="F384" s="2">
        <v>4.59</v>
      </c>
      <c r="G384" s="2" t="str">
        <f>Table1_1[[#This Row],[Country Name]]&amp;"|"&amp;Table1_1[[#This Row],[Series Name]]&amp;"|"&amp;Table1_1[[#This Row],[Years]]</f>
        <v>China|Unemployment, total (% of total labor force) (modeled ILO estimate)|2024</v>
      </c>
    </row>
    <row r="385" spans="1:7" x14ac:dyDescent="0.3">
      <c r="A385" s="2" t="s">
        <v>44</v>
      </c>
      <c r="B385" s="2" t="s">
        <v>30</v>
      </c>
      <c r="C385" s="2" t="s">
        <v>146</v>
      </c>
      <c r="D385" s="2" t="s">
        <v>131</v>
      </c>
      <c r="E385" s="2" t="s">
        <v>167</v>
      </c>
      <c r="F385" s="2">
        <v>4.6150000000000002</v>
      </c>
      <c r="G385" s="2" t="str">
        <f>Table1_1[[#This Row],[Country Name]]&amp;"|"&amp;Table1_1[[#This Row],[Series Name]]&amp;"|"&amp;Table1_1[[#This Row],[Years]]</f>
        <v>China|Unemployment, total (% of total labor force) (modeled ILO estimate)|2025</v>
      </c>
    </row>
    <row r="386" spans="1:7" x14ac:dyDescent="0.3">
      <c r="A386" s="2" t="s">
        <v>44</v>
      </c>
      <c r="B386" s="2" t="s">
        <v>30</v>
      </c>
      <c r="C386" s="2" t="s">
        <v>34</v>
      </c>
      <c r="D386" s="2" t="s">
        <v>17</v>
      </c>
      <c r="E386" s="2" t="s">
        <v>152</v>
      </c>
      <c r="F386" s="2">
        <v>5.81</v>
      </c>
      <c r="G386" s="2" t="str">
        <f>Table1_1[[#This Row],[Country Name]]&amp;"|"&amp;Table1_1[[#This Row],[Series Name]]&amp;"|"&amp;Table1_1[[#This Row],[Years]]</f>
        <v>China|Lending interest rate (%)|2010</v>
      </c>
    </row>
    <row r="387" spans="1:7" x14ac:dyDescent="0.3">
      <c r="A387" s="2" t="s">
        <v>44</v>
      </c>
      <c r="B387" s="2" t="s">
        <v>30</v>
      </c>
      <c r="C387" s="2" t="s">
        <v>34</v>
      </c>
      <c r="D387" s="2" t="s">
        <v>17</v>
      </c>
      <c r="E387" s="2" t="s">
        <v>153</v>
      </c>
      <c r="F387" s="2">
        <v>6.56</v>
      </c>
      <c r="G387" s="2" t="str">
        <f>Table1_1[[#This Row],[Country Name]]&amp;"|"&amp;Table1_1[[#This Row],[Series Name]]&amp;"|"&amp;Table1_1[[#This Row],[Years]]</f>
        <v>China|Lending interest rate (%)|2011</v>
      </c>
    </row>
    <row r="388" spans="1:7" x14ac:dyDescent="0.3">
      <c r="A388" s="2" t="s">
        <v>44</v>
      </c>
      <c r="B388" s="2" t="s">
        <v>30</v>
      </c>
      <c r="C388" s="2" t="s">
        <v>34</v>
      </c>
      <c r="D388" s="2" t="s">
        <v>17</v>
      </c>
      <c r="E388" s="2" t="s">
        <v>154</v>
      </c>
      <c r="F388" s="2">
        <v>6</v>
      </c>
      <c r="G388" s="2" t="str">
        <f>Table1_1[[#This Row],[Country Name]]&amp;"|"&amp;Table1_1[[#This Row],[Series Name]]&amp;"|"&amp;Table1_1[[#This Row],[Years]]</f>
        <v>China|Lending interest rate (%)|2012</v>
      </c>
    </row>
    <row r="389" spans="1:7" x14ac:dyDescent="0.3">
      <c r="A389" s="2" t="s">
        <v>44</v>
      </c>
      <c r="B389" s="2" t="s">
        <v>30</v>
      </c>
      <c r="C389" s="2" t="s">
        <v>34</v>
      </c>
      <c r="D389" s="2" t="s">
        <v>17</v>
      </c>
      <c r="E389" s="2" t="s">
        <v>155</v>
      </c>
      <c r="F389" s="2">
        <v>6</v>
      </c>
      <c r="G389" s="2" t="str">
        <f>Table1_1[[#This Row],[Country Name]]&amp;"|"&amp;Table1_1[[#This Row],[Series Name]]&amp;"|"&amp;Table1_1[[#This Row],[Years]]</f>
        <v>China|Lending interest rate (%)|2013</v>
      </c>
    </row>
    <row r="390" spans="1:7" x14ac:dyDescent="0.3">
      <c r="A390" s="2" t="s">
        <v>44</v>
      </c>
      <c r="B390" s="2" t="s">
        <v>30</v>
      </c>
      <c r="C390" s="2" t="s">
        <v>34</v>
      </c>
      <c r="D390" s="2" t="s">
        <v>17</v>
      </c>
      <c r="E390" s="2" t="s">
        <v>156</v>
      </c>
      <c r="F390" s="2">
        <v>5.6</v>
      </c>
      <c r="G390" s="2" t="str">
        <f>Table1_1[[#This Row],[Country Name]]&amp;"|"&amp;Table1_1[[#This Row],[Series Name]]&amp;"|"&amp;Table1_1[[#This Row],[Years]]</f>
        <v>China|Lending interest rate (%)|2014</v>
      </c>
    </row>
    <row r="391" spans="1:7" x14ac:dyDescent="0.3">
      <c r="A391" s="2" t="s">
        <v>44</v>
      </c>
      <c r="B391" s="2" t="s">
        <v>30</v>
      </c>
      <c r="C391" s="2" t="s">
        <v>34</v>
      </c>
      <c r="D391" s="2" t="s">
        <v>17</v>
      </c>
      <c r="E391" s="2" t="s">
        <v>157</v>
      </c>
      <c r="F391" s="2">
        <v>4.3499999999999996</v>
      </c>
      <c r="G391" s="2" t="str">
        <f>Table1_1[[#This Row],[Country Name]]&amp;"|"&amp;Table1_1[[#This Row],[Series Name]]&amp;"|"&amp;Table1_1[[#This Row],[Years]]</f>
        <v>China|Lending interest rate (%)|2015</v>
      </c>
    </row>
    <row r="392" spans="1:7" x14ac:dyDescent="0.3">
      <c r="A392" s="2" t="s">
        <v>44</v>
      </c>
      <c r="B392" s="2" t="s">
        <v>30</v>
      </c>
      <c r="C392" s="2" t="s">
        <v>34</v>
      </c>
      <c r="D392" s="2" t="s">
        <v>17</v>
      </c>
      <c r="E392" s="2" t="s">
        <v>158</v>
      </c>
      <c r="F392" s="2">
        <v>4.3499999999999996</v>
      </c>
      <c r="G392" s="2" t="str">
        <f>Table1_1[[#This Row],[Country Name]]&amp;"|"&amp;Table1_1[[#This Row],[Series Name]]&amp;"|"&amp;Table1_1[[#This Row],[Years]]</f>
        <v>China|Lending interest rate (%)|2016</v>
      </c>
    </row>
    <row r="393" spans="1:7" x14ac:dyDescent="0.3">
      <c r="A393" s="2" t="s">
        <v>44</v>
      </c>
      <c r="B393" s="2" t="s">
        <v>30</v>
      </c>
      <c r="C393" s="2" t="s">
        <v>34</v>
      </c>
      <c r="D393" s="2" t="s">
        <v>17</v>
      </c>
      <c r="E393" s="2" t="s">
        <v>159</v>
      </c>
      <c r="F393" s="2">
        <v>4.3499999999999996</v>
      </c>
      <c r="G393" s="2" t="str">
        <f>Table1_1[[#This Row],[Country Name]]&amp;"|"&amp;Table1_1[[#This Row],[Series Name]]&amp;"|"&amp;Table1_1[[#This Row],[Years]]</f>
        <v>China|Lending interest rate (%)|2017</v>
      </c>
    </row>
    <row r="394" spans="1:7" x14ac:dyDescent="0.3">
      <c r="A394" s="2" t="s">
        <v>44</v>
      </c>
      <c r="B394" s="2" t="s">
        <v>30</v>
      </c>
      <c r="C394" s="2" t="s">
        <v>34</v>
      </c>
      <c r="D394" s="2" t="s">
        <v>17</v>
      </c>
      <c r="E394" s="2" t="s">
        <v>160</v>
      </c>
      <c r="F394" s="2">
        <v>4.3499999999999996</v>
      </c>
      <c r="G394" s="2" t="str">
        <f>Table1_1[[#This Row],[Country Name]]&amp;"|"&amp;Table1_1[[#This Row],[Series Name]]&amp;"|"&amp;Table1_1[[#This Row],[Years]]</f>
        <v>China|Lending interest rate (%)|2018</v>
      </c>
    </row>
    <row r="395" spans="1:7" x14ac:dyDescent="0.3">
      <c r="A395" s="2" t="s">
        <v>44</v>
      </c>
      <c r="B395" s="2" t="s">
        <v>30</v>
      </c>
      <c r="C395" s="2" t="s">
        <v>34</v>
      </c>
      <c r="D395" s="2" t="s">
        <v>17</v>
      </c>
      <c r="E395" s="2" t="s">
        <v>161</v>
      </c>
      <c r="F395" s="2">
        <v>4.3499999999999996</v>
      </c>
      <c r="G395" s="2" t="str">
        <f>Table1_1[[#This Row],[Country Name]]&amp;"|"&amp;Table1_1[[#This Row],[Series Name]]&amp;"|"&amp;Table1_1[[#This Row],[Years]]</f>
        <v>China|Lending interest rate (%)|2019</v>
      </c>
    </row>
    <row r="396" spans="1:7" x14ac:dyDescent="0.3">
      <c r="A396" s="2" t="s">
        <v>44</v>
      </c>
      <c r="B396" s="2" t="s">
        <v>30</v>
      </c>
      <c r="C396" s="2" t="s">
        <v>34</v>
      </c>
      <c r="D396" s="2" t="s">
        <v>17</v>
      </c>
      <c r="E396" s="2" t="s">
        <v>162</v>
      </c>
      <c r="F396" s="2">
        <v>4.3499999999999996</v>
      </c>
      <c r="G396" s="2" t="str">
        <f>Table1_1[[#This Row],[Country Name]]&amp;"|"&amp;Table1_1[[#This Row],[Series Name]]&amp;"|"&amp;Table1_1[[#This Row],[Years]]</f>
        <v>China|Lending interest rate (%)|2020</v>
      </c>
    </row>
    <row r="397" spans="1:7" x14ac:dyDescent="0.3">
      <c r="A397" s="2" t="s">
        <v>44</v>
      </c>
      <c r="B397" s="2" t="s">
        <v>30</v>
      </c>
      <c r="C397" s="2" t="s">
        <v>34</v>
      </c>
      <c r="D397" s="2" t="s">
        <v>17</v>
      </c>
      <c r="E397" s="2" t="s">
        <v>163</v>
      </c>
      <c r="F397" s="2">
        <v>4.3499999999999996</v>
      </c>
      <c r="G397" s="2" t="str">
        <f>Table1_1[[#This Row],[Country Name]]&amp;"|"&amp;Table1_1[[#This Row],[Series Name]]&amp;"|"&amp;Table1_1[[#This Row],[Years]]</f>
        <v>China|Lending interest rate (%)|2021</v>
      </c>
    </row>
    <row r="398" spans="1:7" x14ac:dyDescent="0.3">
      <c r="A398" s="2" t="s">
        <v>44</v>
      </c>
      <c r="B398" s="2" t="s">
        <v>30</v>
      </c>
      <c r="C398" s="2" t="s">
        <v>34</v>
      </c>
      <c r="D398" s="2" t="s">
        <v>17</v>
      </c>
      <c r="E398" s="2" t="s">
        <v>164</v>
      </c>
      <c r="F398" s="2">
        <v>4.3499999999999996</v>
      </c>
      <c r="G398" s="2" t="str">
        <f>Table1_1[[#This Row],[Country Name]]&amp;"|"&amp;Table1_1[[#This Row],[Series Name]]&amp;"|"&amp;Table1_1[[#This Row],[Years]]</f>
        <v>China|Lending interest rate (%)|2022</v>
      </c>
    </row>
    <row r="399" spans="1:7" x14ac:dyDescent="0.3">
      <c r="A399" s="2" t="s">
        <v>44</v>
      </c>
      <c r="B399" s="2" t="s">
        <v>30</v>
      </c>
      <c r="C399" s="2" t="s">
        <v>34</v>
      </c>
      <c r="D399" s="2" t="s">
        <v>17</v>
      </c>
      <c r="E399" s="2" t="s">
        <v>165</v>
      </c>
      <c r="F399" s="2">
        <v>4.3499999999999996</v>
      </c>
      <c r="G399" s="2" t="str">
        <f>Table1_1[[#This Row],[Country Name]]&amp;"|"&amp;Table1_1[[#This Row],[Series Name]]&amp;"|"&amp;Table1_1[[#This Row],[Years]]</f>
        <v>China|Lending interest rate (%)|2023</v>
      </c>
    </row>
    <row r="400" spans="1:7" x14ac:dyDescent="0.3">
      <c r="A400" s="2" t="s">
        <v>44</v>
      </c>
      <c r="B400" s="2" t="s">
        <v>30</v>
      </c>
      <c r="C400" s="2" t="s">
        <v>34</v>
      </c>
      <c r="D400" s="2" t="s">
        <v>17</v>
      </c>
      <c r="E400" s="2" t="s">
        <v>166</v>
      </c>
      <c r="F400" s="2">
        <v>4.3499999999999996</v>
      </c>
      <c r="G400" s="2" t="str">
        <f>Table1_1[[#This Row],[Country Name]]&amp;"|"&amp;Table1_1[[#This Row],[Series Name]]&amp;"|"&amp;Table1_1[[#This Row],[Years]]</f>
        <v>China|Lending interest rate (%)|2024</v>
      </c>
    </row>
    <row r="401" spans="1:7" x14ac:dyDescent="0.3">
      <c r="A401" s="2" t="s">
        <v>44</v>
      </c>
      <c r="B401" s="2" t="s">
        <v>30</v>
      </c>
      <c r="C401" s="2" t="s">
        <v>34</v>
      </c>
      <c r="D401" s="2" t="s">
        <v>17</v>
      </c>
      <c r="E401" s="2" t="s">
        <v>167</v>
      </c>
      <c r="G401" s="2" t="str">
        <f>Table1_1[[#This Row],[Country Name]]&amp;"|"&amp;Table1_1[[#This Row],[Series Name]]&amp;"|"&amp;Table1_1[[#This Row],[Years]]</f>
        <v>China|Lending interest rate (%)|2025</v>
      </c>
    </row>
    <row r="402" spans="1:7" x14ac:dyDescent="0.3">
      <c r="A402" s="2" t="s">
        <v>44</v>
      </c>
      <c r="B402" s="2" t="s">
        <v>30</v>
      </c>
      <c r="C402" s="2" t="s">
        <v>83</v>
      </c>
      <c r="D402" s="2" t="s">
        <v>72</v>
      </c>
      <c r="E402" s="2" t="s">
        <v>152</v>
      </c>
      <c r="F402" s="2">
        <v>6.7702690287093947</v>
      </c>
      <c r="G402" s="2" t="str">
        <f>Table1_1[[#This Row],[Country Name]]&amp;"|"&amp;Table1_1[[#This Row],[Series Name]]&amp;"|"&amp;Table1_1[[#This Row],[Years]]</f>
        <v>China|Official exchange rate (LCU per US$, period average)|2010</v>
      </c>
    </row>
    <row r="403" spans="1:7" x14ac:dyDescent="0.3">
      <c r="A403" s="2" t="s">
        <v>44</v>
      </c>
      <c r="B403" s="2" t="s">
        <v>30</v>
      </c>
      <c r="C403" s="2" t="s">
        <v>83</v>
      </c>
      <c r="D403" s="2" t="s">
        <v>72</v>
      </c>
      <c r="E403" s="2" t="s">
        <v>153</v>
      </c>
      <c r="F403" s="2">
        <v>6.4614613265500704</v>
      </c>
      <c r="G403" s="2" t="str">
        <f>Table1_1[[#This Row],[Country Name]]&amp;"|"&amp;Table1_1[[#This Row],[Series Name]]&amp;"|"&amp;Table1_1[[#This Row],[Years]]</f>
        <v>China|Official exchange rate (LCU per US$, period average)|2011</v>
      </c>
    </row>
    <row r="404" spans="1:7" x14ac:dyDescent="0.3">
      <c r="A404" s="2" t="s">
        <v>44</v>
      </c>
      <c r="B404" s="2" t="s">
        <v>30</v>
      </c>
      <c r="C404" s="2" t="s">
        <v>83</v>
      </c>
      <c r="D404" s="2" t="s">
        <v>72</v>
      </c>
      <c r="E404" s="2" t="s">
        <v>154</v>
      </c>
      <c r="F404" s="2">
        <v>6.3123328268318621</v>
      </c>
      <c r="G404" s="2" t="str">
        <f>Table1_1[[#This Row],[Country Name]]&amp;"|"&amp;Table1_1[[#This Row],[Series Name]]&amp;"|"&amp;Table1_1[[#This Row],[Years]]</f>
        <v>China|Official exchange rate (LCU per US$, period average)|2012</v>
      </c>
    </row>
    <row r="405" spans="1:7" x14ac:dyDescent="0.3">
      <c r="A405" s="2" t="s">
        <v>44</v>
      </c>
      <c r="B405" s="2" t="s">
        <v>30</v>
      </c>
      <c r="C405" s="2" t="s">
        <v>83</v>
      </c>
      <c r="D405" s="2" t="s">
        <v>72</v>
      </c>
      <c r="E405" s="2" t="s">
        <v>155</v>
      </c>
      <c r="F405" s="2">
        <v>6.19575834608231</v>
      </c>
      <c r="G405" s="2" t="str">
        <f>Table1_1[[#This Row],[Country Name]]&amp;"|"&amp;Table1_1[[#This Row],[Series Name]]&amp;"|"&amp;Table1_1[[#This Row],[Years]]</f>
        <v>China|Official exchange rate (LCU per US$, period average)|2013</v>
      </c>
    </row>
    <row r="406" spans="1:7" x14ac:dyDescent="0.3">
      <c r="A406" s="2" t="s">
        <v>44</v>
      </c>
      <c r="B406" s="2" t="s">
        <v>30</v>
      </c>
      <c r="C406" s="2" t="s">
        <v>83</v>
      </c>
      <c r="D406" s="2" t="s">
        <v>72</v>
      </c>
      <c r="E406" s="2" t="s">
        <v>156</v>
      </c>
      <c r="F406" s="2">
        <v>6.1434340944886703</v>
      </c>
      <c r="G406" s="2" t="str">
        <f>Table1_1[[#This Row],[Country Name]]&amp;"|"&amp;Table1_1[[#This Row],[Series Name]]&amp;"|"&amp;Table1_1[[#This Row],[Years]]</f>
        <v>China|Official exchange rate (LCU per US$, period average)|2014</v>
      </c>
    </row>
    <row r="407" spans="1:7" x14ac:dyDescent="0.3">
      <c r="A407" s="2" t="s">
        <v>44</v>
      </c>
      <c r="B407" s="2" t="s">
        <v>30</v>
      </c>
      <c r="C407" s="2" t="s">
        <v>83</v>
      </c>
      <c r="D407" s="2" t="s">
        <v>72</v>
      </c>
      <c r="E407" s="2" t="s">
        <v>157</v>
      </c>
      <c r="F407" s="2">
        <v>6.2274886729845482</v>
      </c>
      <c r="G407" s="2" t="str">
        <f>Table1_1[[#This Row],[Country Name]]&amp;"|"&amp;Table1_1[[#This Row],[Series Name]]&amp;"|"&amp;Table1_1[[#This Row],[Years]]</f>
        <v>China|Official exchange rate (LCU per US$, period average)|2015</v>
      </c>
    </row>
    <row r="408" spans="1:7" x14ac:dyDescent="0.3">
      <c r="A408" s="2" t="s">
        <v>44</v>
      </c>
      <c r="B408" s="2" t="s">
        <v>30</v>
      </c>
      <c r="C408" s="2" t="s">
        <v>83</v>
      </c>
      <c r="D408" s="2" t="s">
        <v>72</v>
      </c>
      <c r="E408" s="2" t="s">
        <v>158</v>
      </c>
      <c r="F408" s="2">
        <v>6.6444778294468048</v>
      </c>
      <c r="G408" s="2" t="str">
        <f>Table1_1[[#This Row],[Country Name]]&amp;"|"&amp;Table1_1[[#This Row],[Series Name]]&amp;"|"&amp;Table1_1[[#This Row],[Years]]</f>
        <v>China|Official exchange rate (LCU per US$, period average)|2016</v>
      </c>
    </row>
    <row r="409" spans="1:7" x14ac:dyDescent="0.3">
      <c r="A409" s="2" t="s">
        <v>44</v>
      </c>
      <c r="B409" s="2" t="s">
        <v>30</v>
      </c>
      <c r="C409" s="2" t="s">
        <v>83</v>
      </c>
      <c r="D409" s="2" t="s">
        <v>72</v>
      </c>
      <c r="E409" s="2" t="s">
        <v>159</v>
      </c>
      <c r="F409" s="2">
        <v>6.758755086335972</v>
      </c>
      <c r="G409" s="2" t="str">
        <f>Table1_1[[#This Row],[Country Name]]&amp;"|"&amp;Table1_1[[#This Row],[Series Name]]&amp;"|"&amp;Table1_1[[#This Row],[Years]]</f>
        <v>China|Official exchange rate (LCU per US$, period average)|2017</v>
      </c>
    </row>
    <row r="410" spans="1:7" x14ac:dyDescent="0.3">
      <c r="A410" s="2" t="s">
        <v>44</v>
      </c>
      <c r="B410" s="2" t="s">
        <v>30</v>
      </c>
      <c r="C410" s="2" t="s">
        <v>83</v>
      </c>
      <c r="D410" s="2" t="s">
        <v>72</v>
      </c>
      <c r="E410" s="2" t="s">
        <v>160</v>
      </c>
      <c r="F410" s="2">
        <v>6.6159571773543924</v>
      </c>
      <c r="G410" s="2" t="str">
        <f>Table1_1[[#This Row],[Country Name]]&amp;"|"&amp;Table1_1[[#This Row],[Series Name]]&amp;"|"&amp;Table1_1[[#This Row],[Years]]</f>
        <v>China|Official exchange rate (LCU per US$, period average)|2018</v>
      </c>
    </row>
    <row r="411" spans="1:7" x14ac:dyDescent="0.3">
      <c r="A411" s="2" t="s">
        <v>44</v>
      </c>
      <c r="B411" s="2" t="s">
        <v>30</v>
      </c>
      <c r="C411" s="2" t="s">
        <v>83</v>
      </c>
      <c r="D411" s="2" t="s">
        <v>72</v>
      </c>
      <c r="E411" s="2" t="s">
        <v>161</v>
      </c>
      <c r="F411" s="2">
        <v>6.9083850099290123</v>
      </c>
      <c r="G411" s="2" t="str">
        <f>Table1_1[[#This Row],[Country Name]]&amp;"|"&amp;Table1_1[[#This Row],[Series Name]]&amp;"|"&amp;Table1_1[[#This Row],[Years]]</f>
        <v>China|Official exchange rate (LCU per US$, period average)|2019</v>
      </c>
    </row>
    <row r="412" spans="1:7" x14ac:dyDescent="0.3">
      <c r="A412" s="2" t="s">
        <v>44</v>
      </c>
      <c r="B412" s="2" t="s">
        <v>30</v>
      </c>
      <c r="C412" s="2" t="s">
        <v>83</v>
      </c>
      <c r="D412" s="2" t="s">
        <v>72</v>
      </c>
      <c r="E412" s="2" t="s">
        <v>162</v>
      </c>
      <c r="F412" s="2">
        <v>6.9007672694492479</v>
      </c>
      <c r="G412" s="2" t="str">
        <f>Table1_1[[#This Row],[Country Name]]&amp;"|"&amp;Table1_1[[#This Row],[Series Name]]&amp;"|"&amp;Table1_1[[#This Row],[Years]]</f>
        <v>China|Official exchange rate (LCU per US$, period average)|2020</v>
      </c>
    </row>
    <row r="413" spans="1:7" x14ac:dyDescent="0.3">
      <c r="A413" s="2" t="s">
        <v>44</v>
      </c>
      <c r="B413" s="2" t="s">
        <v>30</v>
      </c>
      <c r="C413" s="2" t="s">
        <v>83</v>
      </c>
      <c r="D413" s="2" t="s">
        <v>72</v>
      </c>
      <c r="E413" s="2" t="s">
        <v>163</v>
      </c>
      <c r="F413" s="2">
        <v>6.4489751802431599</v>
      </c>
      <c r="G413" s="2" t="str">
        <f>Table1_1[[#This Row],[Country Name]]&amp;"|"&amp;Table1_1[[#This Row],[Series Name]]&amp;"|"&amp;Table1_1[[#This Row],[Years]]</f>
        <v>China|Official exchange rate (LCU per US$, period average)|2021</v>
      </c>
    </row>
    <row r="414" spans="1:7" x14ac:dyDescent="0.3">
      <c r="A414" s="2" t="s">
        <v>44</v>
      </c>
      <c r="B414" s="2" t="s">
        <v>30</v>
      </c>
      <c r="C414" s="2" t="s">
        <v>83</v>
      </c>
      <c r="D414" s="2" t="s">
        <v>72</v>
      </c>
      <c r="E414" s="2" t="s">
        <v>164</v>
      </c>
      <c r="F414" s="2">
        <v>6.7371581123711879</v>
      </c>
      <c r="G414" s="2" t="str">
        <f>Table1_1[[#This Row],[Country Name]]&amp;"|"&amp;Table1_1[[#This Row],[Series Name]]&amp;"|"&amp;Table1_1[[#This Row],[Years]]</f>
        <v>China|Official exchange rate (LCU per US$, period average)|2022</v>
      </c>
    </row>
    <row r="415" spans="1:7" x14ac:dyDescent="0.3">
      <c r="A415" s="2" t="s">
        <v>44</v>
      </c>
      <c r="B415" s="2" t="s">
        <v>30</v>
      </c>
      <c r="C415" s="2" t="s">
        <v>83</v>
      </c>
      <c r="D415" s="2" t="s">
        <v>72</v>
      </c>
      <c r="E415" s="2" t="s">
        <v>165</v>
      </c>
      <c r="F415" s="2">
        <v>7.0839984234363076</v>
      </c>
      <c r="G415" s="2" t="str">
        <f>Table1_1[[#This Row],[Country Name]]&amp;"|"&amp;Table1_1[[#This Row],[Series Name]]&amp;"|"&amp;Table1_1[[#This Row],[Years]]</f>
        <v>China|Official exchange rate (LCU per US$, period average)|2023</v>
      </c>
    </row>
    <row r="416" spans="1:7" x14ac:dyDescent="0.3">
      <c r="A416" s="2" t="s">
        <v>44</v>
      </c>
      <c r="B416" s="2" t="s">
        <v>30</v>
      </c>
      <c r="C416" s="2" t="s">
        <v>83</v>
      </c>
      <c r="D416" s="2" t="s">
        <v>72</v>
      </c>
      <c r="E416" s="2" t="s">
        <v>166</v>
      </c>
      <c r="F416" s="2">
        <v>7.1974911078991681</v>
      </c>
      <c r="G416" s="2" t="str">
        <f>Table1_1[[#This Row],[Country Name]]&amp;"|"&amp;Table1_1[[#This Row],[Series Name]]&amp;"|"&amp;Table1_1[[#This Row],[Years]]</f>
        <v>China|Official exchange rate (LCU per US$, period average)|2024</v>
      </c>
    </row>
    <row r="417" spans="1:7" x14ac:dyDescent="0.3">
      <c r="A417" s="2" t="s">
        <v>44</v>
      </c>
      <c r="B417" s="2" t="s">
        <v>30</v>
      </c>
      <c r="C417" s="2" t="s">
        <v>83</v>
      </c>
      <c r="D417" s="2" t="s">
        <v>72</v>
      </c>
      <c r="E417" s="2" t="s">
        <v>167</v>
      </c>
      <c r="F417" s="2">
        <v>7.1898473740217099</v>
      </c>
      <c r="G417" s="2" t="str">
        <f>Table1_1[[#This Row],[Country Name]]&amp;"|"&amp;Table1_1[[#This Row],[Series Name]]&amp;"|"&amp;Table1_1[[#This Row],[Years]]</f>
        <v>China|Official exchange rate (LCU per US$, period average)|2025</v>
      </c>
    </row>
    <row r="418" spans="1:7" x14ac:dyDescent="0.3">
      <c r="A418" s="2" t="s">
        <v>44</v>
      </c>
      <c r="B418" s="2" t="s">
        <v>30</v>
      </c>
      <c r="C418" s="2" t="s">
        <v>70</v>
      </c>
      <c r="D418" s="2" t="s">
        <v>147</v>
      </c>
      <c r="E418" s="2" t="s">
        <v>152</v>
      </c>
      <c r="F418" s="2">
        <v>26.72274515024688</v>
      </c>
      <c r="G418" s="2" t="str">
        <f>Table1_1[[#This Row],[Country Name]]&amp;"|"&amp;Table1_1[[#This Row],[Series Name]]&amp;"|"&amp;Table1_1[[#This Row],[Years]]</f>
        <v>China|Exports of goods and services (% of GDP)|2010</v>
      </c>
    </row>
    <row r="419" spans="1:7" x14ac:dyDescent="0.3">
      <c r="A419" s="2" t="s">
        <v>44</v>
      </c>
      <c r="B419" s="2" t="s">
        <v>30</v>
      </c>
      <c r="C419" s="2" t="s">
        <v>70</v>
      </c>
      <c r="D419" s="2" t="s">
        <v>147</v>
      </c>
      <c r="E419" s="2" t="s">
        <v>153</v>
      </c>
      <c r="F419" s="2">
        <v>26.151882894875932</v>
      </c>
      <c r="G419" s="2" t="str">
        <f>Table1_1[[#This Row],[Country Name]]&amp;"|"&amp;Table1_1[[#This Row],[Series Name]]&amp;"|"&amp;Table1_1[[#This Row],[Years]]</f>
        <v>China|Exports of goods and services (% of GDP)|2011</v>
      </c>
    </row>
    <row r="420" spans="1:7" x14ac:dyDescent="0.3">
      <c r="A420" s="2" t="s">
        <v>44</v>
      </c>
      <c r="B420" s="2" t="s">
        <v>30</v>
      </c>
      <c r="C420" s="2" t="s">
        <v>70</v>
      </c>
      <c r="D420" s="2" t="s">
        <v>147</v>
      </c>
      <c r="E420" s="2" t="s">
        <v>154</v>
      </c>
      <c r="F420" s="2">
        <v>25.076704329560012</v>
      </c>
      <c r="G420" s="2" t="str">
        <f>Table1_1[[#This Row],[Country Name]]&amp;"|"&amp;Table1_1[[#This Row],[Series Name]]&amp;"|"&amp;Table1_1[[#This Row],[Years]]</f>
        <v>China|Exports of goods and services (% of GDP)|2012</v>
      </c>
    </row>
    <row r="421" spans="1:7" x14ac:dyDescent="0.3">
      <c r="A421" s="2" t="s">
        <v>44</v>
      </c>
      <c r="B421" s="2" t="s">
        <v>30</v>
      </c>
      <c r="C421" s="2" t="s">
        <v>70</v>
      </c>
      <c r="D421" s="2" t="s">
        <v>147</v>
      </c>
      <c r="E421" s="2" t="s">
        <v>155</v>
      </c>
      <c r="F421" s="2">
        <v>24.163343090585368</v>
      </c>
      <c r="G421" s="2" t="str">
        <f>Table1_1[[#This Row],[Country Name]]&amp;"|"&amp;Table1_1[[#This Row],[Series Name]]&amp;"|"&amp;Table1_1[[#This Row],[Years]]</f>
        <v>China|Exports of goods and services (% of GDP)|2013</v>
      </c>
    </row>
    <row r="422" spans="1:7" x14ac:dyDescent="0.3">
      <c r="A422" s="2" t="s">
        <v>44</v>
      </c>
      <c r="B422" s="2" t="s">
        <v>30</v>
      </c>
      <c r="C422" s="2" t="s">
        <v>70</v>
      </c>
      <c r="D422" s="2" t="s">
        <v>147</v>
      </c>
      <c r="E422" s="2" t="s">
        <v>156</v>
      </c>
      <c r="F422" s="2">
        <v>23.071976694726256</v>
      </c>
      <c r="G422" s="2" t="str">
        <f>Table1_1[[#This Row],[Country Name]]&amp;"|"&amp;Table1_1[[#This Row],[Series Name]]&amp;"|"&amp;Table1_1[[#This Row],[Years]]</f>
        <v>China|Exports of goods and services (% of GDP)|2014</v>
      </c>
    </row>
    <row r="423" spans="1:7" x14ac:dyDescent="0.3">
      <c r="A423" s="2" t="s">
        <v>44</v>
      </c>
      <c r="B423" s="2" t="s">
        <v>30</v>
      </c>
      <c r="C423" s="2" t="s">
        <v>70</v>
      </c>
      <c r="D423" s="2" t="s">
        <v>147</v>
      </c>
      <c r="E423" s="2" t="s">
        <v>157</v>
      </c>
      <c r="F423" s="2">
        <v>20.939064223432641</v>
      </c>
      <c r="G423" s="2" t="str">
        <f>Table1_1[[#This Row],[Country Name]]&amp;"|"&amp;Table1_1[[#This Row],[Series Name]]&amp;"|"&amp;Table1_1[[#This Row],[Years]]</f>
        <v>China|Exports of goods and services (% of GDP)|2015</v>
      </c>
    </row>
    <row r="424" spans="1:7" x14ac:dyDescent="0.3">
      <c r="A424" s="2" t="s">
        <v>44</v>
      </c>
      <c r="B424" s="2" t="s">
        <v>30</v>
      </c>
      <c r="C424" s="2" t="s">
        <v>70</v>
      </c>
      <c r="D424" s="2" t="s">
        <v>147</v>
      </c>
      <c r="E424" s="2" t="s">
        <v>158</v>
      </c>
      <c r="F424" s="2">
        <v>19.203650736541192</v>
      </c>
      <c r="G424" s="2" t="str">
        <f>Table1_1[[#This Row],[Country Name]]&amp;"|"&amp;Table1_1[[#This Row],[Series Name]]&amp;"|"&amp;Table1_1[[#This Row],[Years]]</f>
        <v>China|Exports of goods and services (% of GDP)|2016</v>
      </c>
    </row>
    <row r="425" spans="1:7" x14ac:dyDescent="0.3">
      <c r="A425" s="2" t="s">
        <v>44</v>
      </c>
      <c r="B425" s="2" t="s">
        <v>30</v>
      </c>
      <c r="C425" s="2" t="s">
        <v>70</v>
      </c>
      <c r="D425" s="2" t="s">
        <v>147</v>
      </c>
      <c r="E425" s="2" t="s">
        <v>159</v>
      </c>
      <c r="F425" s="2">
        <v>19.335630165772759</v>
      </c>
      <c r="G425" s="2" t="str">
        <f>Table1_1[[#This Row],[Country Name]]&amp;"|"&amp;Table1_1[[#This Row],[Series Name]]&amp;"|"&amp;Table1_1[[#This Row],[Years]]</f>
        <v>China|Exports of goods and services (% of GDP)|2017</v>
      </c>
    </row>
    <row r="426" spans="1:7" x14ac:dyDescent="0.3">
      <c r="A426" s="2" t="s">
        <v>44</v>
      </c>
      <c r="B426" s="2" t="s">
        <v>30</v>
      </c>
      <c r="C426" s="2" t="s">
        <v>70</v>
      </c>
      <c r="D426" s="2" t="s">
        <v>147</v>
      </c>
      <c r="E426" s="2" t="s">
        <v>160</v>
      </c>
      <c r="F426" s="2">
        <v>18.770519802938026</v>
      </c>
      <c r="G426" s="2" t="str">
        <f>Table1_1[[#This Row],[Country Name]]&amp;"|"&amp;Table1_1[[#This Row],[Series Name]]&amp;"|"&amp;Table1_1[[#This Row],[Years]]</f>
        <v>China|Exports of goods and services (% of GDP)|2018</v>
      </c>
    </row>
    <row r="427" spans="1:7" x14ac:dyDescent="0.3">
      <c r="A427" s="2" t="s">
        <v>44</v>
      </c>
      <c r="B427" s="2" t="s">
        <v>30</v>
      </c>
      <c r="C427" s="2" t="s">
        <v>70</v>
      </c>
      <c r="D427" s="2" t="s">
        <v>147</v>
      </c>
      <c r="E427" s="2" t="s">
        <v>161</v>
      </c>
      <c r="F427" s="2">
        <v>18.139822286405312</v>
      </c>
      <c r="G427" s="2" t="str">
        <f>Table1_1[[#This Row],[Country Name]]&amp;"|"&amp;Table1_1[[#This Row],[Series Name]]&amp;"|"&amp;Table1_1[[#This Row],[Years]]</f>
        <v>China|Exports of goods and services (% of GDP)|2019</v>
      </c>
    </row>
    <row r="428" spans="1:7" x14ac:dyDescent="0.3">
      <c r="A428" s="2" t="s">
        <v>44</v>
      </c>
      <c r="B428" s="2" t="s">
        <v>30</v>
      </c>
      <c r="C428" s="2" t="s">
        <v>70</v>
      </c>
      <c r="D428" s="2" t="s">
        <v>147</v>
      </c>
      <c r="E428" s="2" t="s">
        <v>162</v>
      </c>
      <c r="F428" s="2">
        <v>18.269601380505101</v>
      </c>
      <c r="G428" s="2" t="str">
        <f>Table1_1[[#This Row],[Country Name]]&amp;"|"&amp;Table1_1[[#This Row],[Series Name]]&amp;"|"&amp;Table1_1[[#This Row],[Years]]</f>
        <v>China|Exports of goods and services (% of GDP)|2020</v>
      </c>
    </row>
    <row r="429" spans="1:7" x14ac:dyDescent="0.3">
      <c r="A429" s="2" t="s">
        <v>44</v>
      </c>
      <c r="B429" s="2" t="s">
        <v>30</v>
      </c>
      <c r="C429" s="2" t="s">
        <v>70</v>
      </c>
      <c r="D429" s="2" t="s">
        <v>147</v>
      </c>
      <c r="E429" s="2" t="s">
        <v>163</v>
      </c>
      <c r="F429" s="2">
        <v>19.435055651490899</v>
      </c>
      <c r="G429" s="2" t="str">
        <f>Table1_1[[#This Row],[Country Name]]&amp;"|"&amp;Table1_1[[#This Row],[Series Name]]&amp;"|"&amp;Table1_1[[#This Row],[Years]]</f>
        <v>China|Exports of goods and services (% of GDP)|2021</v>
      </c>
    </row>
    <row r="430" spans="1:7" x14ac:dyDescent="0.3">
      <c r="A430" s="2" t="s">
        <v>44</v>
      </c>
      <c r="B430" s="2" t="s">
        <v>30</v>
      </c>
      <c r="C430" s="2" t="s">
        <v>70</v>
      </c>
      <c r="D430" s="2" t="s">
        <v>147</v>
      </c>
      <c r="E430" s="2" t="s">
        <v>164</v>
      </c>
      <c r="F430" s="2">
        <v>20.227756033041029</v>
      </c>
      <c r="G430" s="2" t="str">
        <f>Table1_1[[#This Row],[Country Name]]&amp;"|"&amp;Table1_1[[#This Row],[Series Name]]&amp;"|"&amp;Table1_1[[#This Row],[Years]]</f>
        <v>China|Exports of goods and services (% of GDP)|2022</v>
      </c>
    </row>
    <row r="431" spans="1:7" x14ac:dyDescent="0.3">
      <c r="A431" s="2" t="s">
        <v>44</v>
      </c>
      <c r="B431" s="2" t="s">
        <v>30</v>
      </c>
      <c r="C431" s="2" t="s">
        <v>70</v>
      </c>
      <c r="D431" s="2" t="s">
        <v>147</v>
      </c>
      <c r="E431" s="2" t="s">
        <v>165</v>
      </c>
      <c r="F431" s="2">
        <v>19.402309164837643</v>
      </c>
      <c r="G431" s="2" t="str">
        <f>Table1_1[[#This Row],[Country Name]]&amp;"|"&amp;Table1_1[[#This Row],[Series Name]]&amp;"|"&amp;Table1_1[[#This Row],[Years]]</f>
        <v>China|Exports of goods and services (% of GDP)|2023</v>
      </c>
    </row>
    <row r="432" spans="1:7" x14ac:dyDescent="0.3">
      <c r="A432" s="2" t="s">
        <v>44</v>
      </c>
      <c r="B432" s="2" t="s">
        <v>30</v>
      </c>
      <c r="C432" s="2" t="s">
        <v>70</v>
      </c>
      <c r="D432" s="2" t="s">
        <v>147</v>
      </c>
      <c r="E432" s="2" t="s">
        <v>166</v>
      </c>
      <c r="F432" s="2">
        <v>20.442828366589119</v>
      </c>
      <c r="G432" s="2" t="str">
        <f>Table1_1[[#This Row],[Country Name]]&amp;"|"&amp;Table1_1[[#This Row],[Series Name]]&amp;"|"&amp;Table1_1[[#This Row],[Years]]</f>
        <v>China|Exports of goods and services (% of GDP)|2024</v>
      </c>
    </row>
    <row r="433" spans="1:7" x14ac:dyDescent="0.3">
      <c r="A433" s="2" t="s">
        <v>44</v>
      </c>
      <c r="B433" s="2" t="s">
        <v>30</v>
      </c>
      <c r="C433" s="2" t="s">
        <v>70</v>
      </c>
      <c r="D433" s="2" t="s">
        <v>147</v>
      </c>
      <c r="E433" s="2" t="s">
        <v>167</v>
      </c>
      <c r="F433" s="2">
        <v>21.071198356677236</v>
      </c>
      <c r="G433" s="2" t="str">
        <f>Table1_1[[#This Row],[Country Name]]&amp;"|"&amp;Table1_1[[#This Row],[Series Name]]&amp;"|"&amp;Table1_1[[#This Row],[Years]]</f>
        <v>China|Exports of goods and services (% of GDP)|2025</v>
      </c>
    </row>
    <row r="434" spans="1:7" x14ac:dyDescent="0.3">
      <c r="A434" s="2" t="s">
        <v>44</v>
      </c>
      <c r="B434" s="2" t="s">
        <v>30</v>
      </c>
      <c r="C434" s="2" t="s">
        <v>56</v>
      </c>
      <c r="D434" s="2" t="s">
        <v>14</v>
      </c>
      <c r="E434" s="2" t="s">
        <v>152</v>
      </c>
      <c r="F434" s="2">
        <v>23.131327083650863</v>
      </c>
      <c r="G434" s="2" t="str">
        <f>Table1_1[[#This Row],[Country Name]]&amp;"|"&amp;Table1_1[[#This Row],[Series Name]]&amp;"|"&amp;Table1_1[[#This Row],[Years]]</f>
        <v>China|Imports of goods and services (% of GDP)|2010</v>
      </c>
    </row>
    <row r="435" spans="1:7" x14ac:dyDescent="0.3">
      <c r="A435" s="2" t="s">
        <v>44</v>
      </c>
      <c r="B435" s="2" t="s">
        <v>30</v>
      </c>
      <c r="C435" s="2" t="s">
        <v>56</v>
      </c>
      <c r="D435" s="2" t="s">
        <v>14</v>
      </c>
      <c r="E435" s="2" t="s">
        <v>153</v>
      </c>
      <c r="F435" s="2">
        <v>23.793944330488376</v>
      </c>
      <c r="G435" s="2" t="str">
        <f>Table1_1[[#This Row],[Country Name]]&amp;"|"&amp;Table1_1[[#This Row],[Series Name]]&amp;"|"&amp;Table1_1[[#This Row],[Years]]</f>
        <v>China|Imports of goods and services (% of GDP)|2011</v>
      </c>
    </row>
    <row r="436" spans="1:7" x14ac:dyDescent="0.3">
      <c r="A436" s="2" t="s">
        <v>44</v>
      </c>
      <c r="B436" s="2" t="s">
        <v>30</v>
      </c>
      <c r="C436" s="2" t="s">
        <v>56</v>
      </c>
      <c r="D436" s="2" t="s">
        <v>14</v>
      </c>
      <c r="E436" s="2" t="s">
        <v>154</v>
      </c>
      <c r="F436" s="2">
        <v>22.403508748871712</v>
      </c>
      <c r="G436" s="2" t="str">
        <f>Table1_1[[#This Row],[Country Name]]&amp;"|"&amp;Table1_1[[#This Row],[Series Name]]&amp;"|"&amp;Table1_1[[#This Row],[Years]]</f>
        <v>China|Imports of goods and services (% of GDP)|2012</v>
      </c>
    </row>
    <row r="437" spans="1:7" x14ac:dyDescent="0.3">
      <c r="A437" s="2" t="s">
        <v>44</v>
      </c>
      <c r="B437" s="2" t="s">
        <v>30</v>
      </c>
      <c r="C437" s="2" t="s">
        <v>56</v>
      </c>
      <c r="D437" s="2" t="s">
        <v>14</v>
      </c>
      <c r="E437" s="2" t="s">
        <v>155</v>
      </c>
      <c r="F437" s="2">
        <v>21.752698288971747</v>
      </c>
      <c r="G437" s="2" t="str">
        <f>Table1_1[[#This Row],[Country Name]]&amp;"|"&amp;Table1_1[[#This Row],[Series Name]]&amp;"|"&amp;Table1_1[[#This Row],[Years]]</f>
        <v>China|Imports of goods and services (% of GDP)|2013</v>
      </c>
    </row>
    <row r="438" spans="1:7" x14ac:dyDescent="0.3">
      <c r="A438" s="2" t="s">
        <v>44</v>
      </c>
      <c r="B438" s="2" t="s">
        <v>30</v>
      </c>
      <c r="C438" s="2" t="s">
        <v>56</v>
      </c>
      <c r="D438" s="2" t="s">
        <v>14</v>
      </c>
      <c r="E438" s="2" t="s">
        <v>156</v>
      </c>
      <c r="F438" s="2">
        <v>20.996479786526915</v>
      </c>
      <c r="G438" s="2" t="str">
        <f>Table1_1[[#This Row],[Country Name]]&amp;"|"&amp;Table1_1[[#This Row],[Series Name]]&amp;"|"&amp;Table1_1[[#This Row],[Years]]</f>
        <v>China|Imports of goods and services (% of GDP)|2014</v>
      </c>
    </row>
    <row r="439" spans="1:7" x14ac:dyDescent="0.3">
      <c r="A439" s="2" t="s">
        <v>44</v>
      </c>
      <c r="B439" s="2" t="s">
        <v>30</v>
      </c>
      <c r="C439" s="2" t="s">
        <v>56</v>
      </c>
      <c r="D439" s="2" t="s">
        <v>14</v>
      </c>
      <c r="E439" s="2" t="s">
        <v>157</v>
      </c>
      <c r="F439" s="2">
        <v>17.758120612829824</v>
      </c>
      <c r="G439" s="2" t="str">
        <f>Table1_1[[#This Row],[Country Name]]&amp;"|"&amp;Table1_1[[#This Row],[Series Name]]&amp;"|"&amp;Table1_1[[#This Row],[Years]]</f>
        <v>China|Imports of goods and services (% of GDP)|2015</v>
      </c>
    </row>
    <row r="440" spans="1:7" x14ac:dyDescent="0.3">
      <c r="A440" s="2" t="s">
        <v>44</v>
      </c>
      <c r="B440" s="2" t="s">
        <v>30</v>
      </c>
      <c r="C440" s="2" t="s">
        <v>56</v>
      </c>
      <c r="D440" s="2" t="s">
        <v>14</v>
      </c>
      <c r="E440" s="2" t="s">
        <v>158</v>
      </c>
      <c r="F440" s="2">
        <v>16.973519956436803</v>
      </c>
      <c r="G440" s="2" t="str">
        <f>Table1_1[[#This Row],[Country Name]]&amp;"|"&amp;Table1_1[[#This Row],[Series Name]]&amp;"|"&amp;Table1_1[[#This Row],[Years]]</f>
        <v>China|Imports of goods and services (% of GDP)|2016</v>
      </c>
    </row>
    <row r="441" spans="1:7" x14ac:dyDescent="0.3">
      <c r="A441" s="2" t="s">
        <v>44</v>
      </c>
      <c r="B441" s="2" t="s">
        <v>30</v>
      </c>
      <c r="C441" s="2" t="s">
        <v>56</v>
      </c>
      <c r="D441" s="2" t="s">
        <v>14</v>
      </c>
      <c r="E441" s="2" t="s">
        <v>159</v>
      </c>
      <c r="F441" s="2">
        <v>17.615222450087202</v>
      </c>
      <c r="G441" s="2" t="str">
        <f>Table1_1[[#This Row],[Country Name]]&amp;"|"&amp;Table1_1[[#This Row],[Series Name]]&amp;"|"&amp;Table1_1[[#This Row],[Years]]</f>
        <v>China|Imports of goods and services (% of GDP)|2017</v>
      </c>
    </row>
    <row r="442" spans="1:7" x14ac:dyDescent="0.3">
      <c r="A442" s="2" t="s">
        <v>44</v>
      </c>
      <c r="B442" s="2" t="s">
        <v>30</v>
      </c>
      <c r="C442" s="2" t="s">
        <v>56</v>
      </c>
      <c r="D442" s="2" t="s">
        <v>14</v>
      </c>
      <c r="E442" s="2" t="s">
        <v>160</v>
      </c>
      <c r="F442" s="2">
        <v>18.12386458853382</v>
      </c>
      <c r="G442" s="2" t="str">
        <f>Table1_1[[#This Row],[Country Name]]&amp;"|"&amp;Table1_1[[#This Row],[Series Name]]&amp;"|"&amp;Table1_1[[#This Row],[Years]]</f>
        <v>China|Imports of goods and services (% of GDP)|2018</v>
      </c>
    </row>
    <row r="443" spans="1:7" x14ac:dyDescent="0.3">
      <c r="A443" s="2" t="s">
        <v>44</v>
      </c>
      <c r="B443" s="2" t="s">
        <v>30</v>
      </c>
      <c r="C443" s="2" t="s">
        <v>56</v>
      </c>
      <c r="D443" s="2" t="s">
        <v>14</v>
      </c>
      <c r="E443" s="2" t="s">
        <v>161</v>
      </c>
      <c r="F443" s="2">
        <v>17.314612741735434</v>
      </c>
      <c r="G443" s="2" t="str">
        <f>Table1_1[[#This Row],[Country Name]]&amp;"|"&amp;Table1_1[[#This Row],[Series Name]]&amp;"|"&amp;Table1_1[[#This Row],[Years]]</f>
        <v>China|Imports of goods and services (% of GDP)|2019</v>
      </c>
    </row>
    <row r="444" spans="1:7" x14ac:dyDescent="0.3">
      <c r="A444" s="2" t="s">
        <v>44</v>
      </c>
      <c r="B444" s="2" t="s">
        <v>30</v>
      </c>
      <c r="C444" s="2" t="s">
        <v>56</v>
      </c>
      <c r="D444" s="2" t="s">
        <v>14</v>
      </c>
      <c r="E444" s="2" t="s">
        <v>162</v>
      </c>
      <c r="F444" s="2">
        <v>16.068177093378903</v>
      </c>
      <c r="G444" s="2" t="str">
        <f>Table1_1[[#This Row],[Country Name]]&amp;"|"&amp;Table1_1[[#This Row],[Series Name]]&amp;"|"&amp;Table1_1[[#This Row],[Years]]</f>
        <v>China|Imports of goods and services (% of GDP)|2020</v>
      </c>
    </row>
    <row r="445" spans="1:7" x14ac:dyDescent="0.3">
      <c r="A445" s="2" t="s">
        <v>44</v>
      </c>
      <c r="B445" s="2" t="s">
        <v>30</v>
      </c>
      <c r="C445" s="2" t="s">
        <v>56</v>
      </c>
      <c r="D445" s="2" t="s">
        <v>14</v>
      </c>
      <c r="E445" s="2" t="s">
        <v>163</v>
      </c>
      <c r="F445" s="2">
        <v>17.207823312884482</v>
      </c>
      <c r="G445" s="2" t="str">
        <f>Table1_1[[#This Row],[Country Name]]&amp;"|"&amp;Table1_1[[#This Row],[Series Name]]&amp;"|"&amp;Table1_1[[#This Row],[Years]]</f>
        <v>China|Imports of goods and services (% of GDP)|2021</v>
      </c>
    </row>
    <row r="446" spans="1:7" x14ac:dyDescent="0.3">
      <c r="A446" s="2" t="s">
        <v>44</v>
      </c>
      <c r="B446" s="2" t="s">
        <v>30</v>
      </c>
      <c r="C446" s="2" t="s">
        <v>56</v>
      </c>
      <c r="D446" s="2" t="s">
        <v>14</v>
      </c>
      <c r="E446" s="2" t="s">
        <v>164</v>
      </c>
      <c r="F446" s="2">
        <v>17.284799645130011</v>
      </c>
      <c r="G446" s="2" t="str">
        <f>Table1_1[[#This Row],[Country Name]]&amp;"|"&amp;Table1_1[[#This Row],[Series Name]]&amp;"|"&amp;Table1_1[[#This Row],[Years]]</f>
        <v>China|Imports of goods and services (% of GDP)|2022</v>
      </c>
    </row>
    <row r="447" spans="1:7" x14ac:dyDescent="0.3">
      <c r="A447" s="2" t="s">
        <v>44</v>
      </c>
      <c r="B447" s="2" t="s">
        <v>30</v>
      </c>
      <c r="C447" s="2" t="s">
        <v>56</v>
      </c>
      <c r="D447" s="2" t="s">
        <v>14</v>
      </c>
      <c r="E447" s="2" t="s">
        <v>165</v>
      </c>
      <c r="F447" s="2">
        <v>17.336840529001755</v>
      </c>
      <c r="G447" s="2" t="str">
        <f>Table1_1[[#This Row],[Country Name]]&amp;"|"&amp;Table1_1[[#This Row],[Series Name]]&amp;"|"&amp;Table1_1[[#This Row],[Years]]</f>
        <v>China|Imports of goods and services (% of GDP)|2023</v>
      </c>
    </row>
    <row r="448" spans="1:7" x14ac:dyDescent="0.3">
      <c r="A448" s="2" t="s">
        <v>44</v>
      </c>
      <c r="B448" s="2" t="s">
        <v>30</v>
      </c>
      <c r="C448" s="2" t="s">
        <v>56</v>
      </c>
      <c r="D448" s="2" t="s">
        <v>14</v>
      </c>
      <c r="E448" s="2" t="s">
        <v>166</v>
      </c>
      <c r="F448" s="2">
        <v>17.513231770665268</v>
      </c>
      <c r="G448" s="2" t="str">
        <f>Table1_1[[#This Row],[Country Name]]&amp;"|"&amp;Table1_1[[#This Row],[Series Name]]&amp;"|"&amp;Table1_1[[#This Row],[Years]]</f>
        <v>China|Imports of goods and services (% of GDP)|2024</v>
      </c>
    </row>
    <row r="449" spans="1:7" x14ac:dyDescent="0.3">
      <c r="A449" s="2" t="s">
        <v>44</v>
      </c>
      <c r="B449" s="2" t="s">
        <v>30</v>
      </c>
      <c r="C449" s="2" t="s">
        <v>56</v>
      </c>
      <c r="D449" s="2" t="s">
        <v>14</v>
      </c>
      <c r="E449" s="2" t="s">
        <v>167</v>
      </c>
      <c r="F449" s="2">
        <v>16.885189508553946</v>
      </c>
      <c r="G449" s="2" t="str">
        <f>Table1_1[[#This Row],[Country Name]]&amp;"|"&amp;Table1_1[[#This Row],[Series Name]]&amp;"|"&amp;Table1_1[[#This Row],[Years]]</f>
        <v>China|Imports of goods and services (% of GDP)|2025</v>
      </c>
    </row>
    <row r="450" spans="1:7" x14ac:dyDescent="0.3">
      <c r="A450" s="2" t="s">
        <v>44</v>
      </c>
      <c r="B450" s="2" t="s">
        <v>30</v>
      </c>
      <c r="C450" s="2" t="s">
        <v>13</v>
      </c>
      <c r="D450" s="2" t="s">
        <v>123</v>
      </c>
      <c r="E450" s="2" t="s">
        <v>152</v>
      </c>
      <c r="F450" s="2">
        <v>243703434558.177</v>
      </c>
      <c r="G450" s="2" t="str">
        <f>Table1_1[[#This Row],[Country Name]]&amp;"|"&amp;Table1_1[[#This Row],[Series Name]]&amp;"|"&amp;Table1_1[[#This Row],[Years]]</f>
        <v>China|Foreign direct investment, net inflows (BoP, current US$)|2010</v>
      </c>
    </row>
    <row r="451" spans="1:7" x14ac:dyDescent="0.3">
      <c r="A451" s="2" t="s">
        <v>44</v>
      </c>
      <c r="B451" s="2" t="s">
        <v>30</v>
      </c>
      <c r="C451" s="2" t="s">
        <v>13</v>
      </c>
      <c r="D451" s="2" t="s">
        <v>123</v>
      </c>
      <c r="E451" s="2" t="s">
        <v>153</v>
      </c>
      <c r="F451" s="2">
        <v>280072219149.93402</v>
      </c>
      <c r="G451" s="2" t="str">
        <f>Table1_1[[#This Row],[Country Name]]&amp;"|"&amp;Table1_1[[#This Row],[Series Name]]&amp;"|"&amp;Table1_1[[#This Row],[Years]]</f>
        <v>China|Foreign direct investment, net inflows (BoP, current US$)|2011</v>
      </c>
    </row>
    <row r="452" spans="1:7" x14ac:dyDescent="0.3">
      <c r="A452" s="2" t="s">
        <v>44</v>
      </c>
      <c r="B452" s="2" t="s">
        <v>30</v>
      </c>
      <c r="C452" s="2" t="s">
        <v>13</v>
      </c>
      <c r="D452" s="2" t="s">
        <v>123</v>
      </c>
      <c r="E452" s="2" t="s">
        <v>154</v>
      </c>
      <c r="F452" s="2">
        <v>241213868161.42001</v>
      </c>
      <c r="G452" s="2" t="str">
        <f>Table1_1[[#This Row],[Country Name]]&amp;"|"&amp;Table1_1[[#This Row],[Series Name]]&amp;"|"&amp;Table1_1[[#This Row],[Years]]</f>
        <v>China|Foreign direct investment, net inflows (BoP, current US$)|2012</v>
      </c>
    </row>
    <row r="453" spans="1:7" x14ac:dyDescent="0.3">
      <c r="A453" s="2" t="s">
        <v>44</v>
      </c>
      <c r="B453" s="2" t="s">
        <v>30</v>
      </c>
      <c r="C453" s="2" t="s">
        <v>13</v>
      </c>
      <c r="D453" s="2" t="s">
        <v>123</v>
      </c>
      <c r="E453" s="2" t="s">
        <v>155</v>
      </c>
      <c r="F453" s="2">
        <v>290928431467.00299</v>
      </c>
      <c r="G453" s="2" t="str">
        <f>Table1_1[[#This Row],[Country Name]]&amp;"|"&amp;Table1_1[[#This Row],[Series Name]]&amp;"|"&amp;Table1_1[[#This Row],[Years]]</f>
        <v>China|Foreign direct investment, net inflows (BoP, current US$)|2013</v>
      </c>
    </row>
    <row r="454" spans="1:7" x14ac:dyDescent="0.3">
      <c r="A454" s="2" t="s">
        <v>44</v>
      </c>
      <c r="B454" s="2" t="s">
        <v>30</v>
      </c>
      <c r="C454" s="2" t="s">
        <v>13</v>
      </c>
      <c r="D454" s="2" t="s">
        <v>123</v>
      </c>
      <c r="E454" s="2" t="s">
        <v>156</v>
      </c>
      <c r="F454" s="2">
        <v>268097181064.33499</v>
      </c>
      <c r="G454" s="2" t="str">
        <f>Table1_1[[#This Row],[Country Name]]&amp;"|"&amp;Table1_1[[#This Row],[Series Name]]&amp;"|"&amp;Table1_1[[#This Row],[Years]]</f>
        <v>China|Foreign direct investment, net inflows (BoP, current US$)|2014</v>
      </c>
    </row>
    <row r="455" spans="1:7" x14ac:dyDescent="0.3">
      <c r="A455" s="2" t="s">
        <v>44</v>
      </c>
      <c r="B455" s="2" t="s">
        <v>30</v>
      </c>
      <c r="C455" s="2" t="s">
        <v>13</v>
      </c>
      <c r="D455" s="2" t="s">
        <v>123</v>
      </c>
      <c r="E455" s="2" t="s">
        <v>157</v>
      </c>
      <c r="F455" s="2">
        <v>242489331627.39801</v>
      </c>
      <c r="G455" s="2" t="str">
        <f>Table1_1[[#This Row],[Country Name]]&amp;"|"&amp;Table1_1[[#This Row],[Series Name]]&amp;"|"&amp;Table1_1[[#This Row],[Years]]</f>
        <v>China|Foreign direct investment, net inflows (BoP, current US$)|2015</v>
      </c>
    </row>
    <row r="456" spans="1:7" x14ac:dyDescent="0.3">
      <c r="A456" s="2" t="s">
        <v>44</v>
      </c>
      <c r="B456" s="2" t="s">
        <v>30</v>
      </c>
      <c r="C456" s="2" t="s">
        <v>13</v>
      </c>
      <c r="D456" s="2" t="s">
        <v>123</v>
      </c>
      <c r="E456" s="2" t="s">
        <v>158</v>
      </c>
      <c r="F456" s="2">
        <v>174749584584.04999</v>
      </c>
      <c r="G456" s="2" t="str">
        <f>Table1_1[[#This Row],[Country Name]]&amp;"|"&amp;Table1_1[[#This Row],[Series Name]]&amp;"|"&amp;Table1_1[[#This Row],[Years]]</f>
        <v>China|Foreign direct investment, net inflows (BoP, current US$)|2016</v>
      </c>
    </row>
    <row r="457" spans="1:7" x14ac:dyDescent="0.3">
      <c r="A457" s="2" t="s">
        <v>44</v>
      </c>
      <c r="B457" s="2" t="s">
        <v>30</v>
      </c>
      <c r="C457" s="2" t="s">
        <v>13</v>
      </c>
      <c r="D457" s="2" t="s">
        <v>123</v>
      </c>
      <c r="E457" s="2" t="s">
        <v>159</v>
      </c>
      <c r="F457" s="2">
        <v>166083755721.64801</v>
      </c>
      <c r="G457" s="2" t="str">
        <f>Table1_1[[#This Row],[Country Name]]&amp;"|"&amp;Table1_1[[#This Row],[Series Name]]&amp;"|"&amp;Table1_1[[#This Row],[Years]]</f>
        <v>China|Foreign direct investment, net inflows (BoP, current US$)|2017</v>
      </c>
    </row>
    <row r="458" spans="1:7" x14ac:dyDescent="0.3">
      <c r="A458" s="2" t="s">
        <v>44</v>
      </c>
      <c r="B458" s="2" t="s">
        <v>30</v>
      </c>
      <c r="C458" s="2" t="s">
        <v>13</v>
      </c>
      <c r="D458" s="2" t="s">
        <v>123</v>
      </c>
      <c r="E458" s="2" t="s">
        <v>160</v>
      </c>
      <c r="F458" s="2">
        <v>235365050036.341</v>
      </c>
      <c r="G458" s="2" t="str">
        <f>Table1_1[[#This Row],[Country Name]]&amp;"|"&amp;Table1_1[[#This Row],[Series Name]]&amp;"|"&amp;Table1_1[[#This Row],[Years]]</f>
        <v>China|Foreign direct investment, net inflows (BoP, current US$)|2018</v>
      </c>
    </row>
    <row r="459" spans="1:7" x14ac:dyDescent="0.3">
      <c r="A459" s="2" t="s">
        <v>44</v>
      </c>
      <c r="B459" s="2" t="s">
        <v>30</v>
      </c>
      <c r="C459" s="2" t="s">
        <v>13</v>
      </c>
      <c r="D459" s="2" t="s">
        <v>123</v>
      </c>
      <c r="E459" s="2" t="s">
        <v>161</v>
      </c>
      <c r="F459" s="2">
        <v>187169822364.755</v>
      </c>
      <c r="G459" s="2" t="str">
        <f>Table1_1[[#This Row],[Country Name]]&amp;"|"&amp;Table1_1[[#This Row],[Series Name]]&amp;"|"&amp;Table1_1[[#This Row],[Years]]</f>
        <v>China|Foreign direct investment, net inflows (BoP, current US$)|2019</v>
      </c>
    </row>
    <row r="460" spans="1:7" x14ac:dyDescent="0.3">
      <c r="A460" s="2" t="s">
        <v>44</v>
      </c>
      <c r="B460" s="2" t="s">
        <v>30</v>
      </c>
      <c r="C460" s="2" t="s">
        <v>13</v>
      </c>
      <c r="D460" s="2" t="s">
        <v>123</v>
      </c>
      <c r="E460" s="2" t="s">
        <v>162</v>
      </c>
      <c r="F460" s="2">
        <v>253095616058.57999</v>
      </c>
      <c r="G460" s="2" t="str">
        <f>Table1_1[[#This Row],[Country Name]]&amp;"|"&amp;Table1_1[[#This Row],[Series Name]]&amp;"|"&amp;Table1_1[[#This Row],[Years]]</f>
        <v>China|Foreign direct investment, net inflows (BoP, current US$)|2020</v>
      </c>
    </row>
    <row r="461" spans="1:7" x14ac:dyDescent="0.3">
      <c r="A461" s="2" t="s">
        <v>44</v>
      </c>
      <c r="B461" s="2" t="s">
        <v>30</v>
      </c>
      <c r="C461" s="2" t="s">
        <v>13</v>
      </c>
      <c r="D461" s="2" t="s">
        <v>123</v>
      </c>
      <c r="E461" s="2" t="s">
        <v>163</v>
      </c>
      <c r="F461" s="2">
        <v>344074977062.47998</v>
      </c>
      <c r="G461" s="2" t="str">
        <f>Table1_1[[#This Row],[Country Name]]&amp;"|"&amp;Table1_1[[#This Row],[Series Name]]&amp;"|"&amp;Table1_1[[#This Row],[Years]]</f>
        <v>China|Foreign direct investment, net inflows (BoP, current US$)|2021</v>
      </c>
    </row>
    <row r="462" spans="1:7" x14ac:dyDescent="0.3">
      <c r="A462" s="2" t="s">
        <v>44</v>
      </c>
      <c r="B462" s="2" t="s">
        <v>30</v>
      </c>
      <c r="C462" s="2" t="s">
        <v>13</v>
      </c>
      <c r="D462" s="2" t="s">
        <v>123</v>
      </c>
      <c r="E462" s="2" t="s">
        <v>164</v>
      </c>
      <c r="F462" s="2">
        <v>190203789092.51001</v>
      </c>
      <c r="G462" s="2" t="str">
        <f>Table1_1[[#This Row],[Country Name]]&amp;"|"&amp;Table1_1[[#This Row],[Series Name]]&amp;"|"&amp;Table1_1[[#This Row],[Years]]</f>
        <v>China|Foreign direct investment, net inflows (BoP, current US$)|2022</v>
      </c>
    </row>
    <row r="463" spans="1:7" x14ac:dyDescent="0.3">
      <c r="A463" s="2" t="s">
        <v>44</v>
      </c>
      <c r="B463" s="2" t="s">
        <v>30</v>
      </c>
      <c r="C463" s="2" t="s">
        <v>13</v>
      </c>
      <c r="D463" s="2" t="s">
        <v>123</v>
      </c>
      <c r="E463" s="2" t="s">
        <v>165</v>
      </c>
      <c r="F463" s="2">
        <v>51338076801.589996</v>
      </c>
      <c r="G463" s="2" t="str">
        <f>Table1_1[[#This Row],[Country Name]]&amp;"|"&amp;Table1_1[[#This Row],[Series Name]]&amp;"|"&amp;Table1_1[[#This Row],[Years]]</f>
        <v>China|Foreign direct investment, net inflows (BoP, current US$)|2023</v>
      </c>
    </row>
    <row r="464" spans="1:7" x14ac:dyDescent="0.3">
      <c r="A464" s="2" t="s">
        <v>44</v>
      </c>
      <c r="B464" s="2" t="s">
        <v>30</v>
      </c>
      <c r="C464" s="2" t="s">
        <v>13</v>
      </c>
      <c r="D464" s="2" t="s">
        <v>123</v>
      </c>
      <c r="E464" s="2" t="s">
        <v>166</v>
      </c>
      <c r="F464" s="2">
        <v>42646542014.57</v>
      </c>
      <c r="G464" s="2" t="str">
        <f>Table1_1[[#This Row],[Country Name]]&amp;"|"&amp;Table1_1[[#This Row],[Series Name]]&amp;"|"&amp;Table1_1[[#This Row],[Years]]</f>
        <v>China|Foreign direct investment, net inflows (BoP, current US$)|2024</v>
      </c>
    </row>
    <row r="465" spans="1:7" x14ac:dyDescent="0.3">
      <c r="A465" s="2" t="s">
        <v>44</v>
      </c>
      <c r="B465" s="2" t="s">
        <v>30</v>
      </c>
      <c r="C465" s="2" t="s">
        <v>13</v>
      </c>
      <c r="D465" s="2" t="s">
        <v>123</v>
      </c>
      <c r="E465" s="2" t="s">
        <v>167</v>
      </c>
      <c r="F465" s="2">
        <v>79979865650.020004</v>
      </c>
      <c r="G465" s="2" t="str">
        <f>Table1_1[[#This Row],[Country Name]]&amp;"|"&amp;Table1_1[[#This Row],[Series Name]]&amp;"|"&amp;Table1_1[[#This Row],[Years]]</f>
        <v>China|Foreign direct investment, net inflows (BoP, current US$)|2025</v>
      </c>
    </row>
    <row r="466" spans="1:7" x14ac:dyDescent="0.3">
      <c r="A466" s="2" t="s">
        <v>44</v>
      </c>
      <c r="B466" s="2" t="s">
        <v>30</v>
      </c>
      <c r="C466" s="2" t="s">
        <v>107</v>
      </c>
      <c r="D466" s="2" t="s">
        <v>106</v>
      </c>
      <c r="E466" s="2" t="s">
        <v>152</v>
      </c>
      <c r="F466" s="2">
        <v>1337705000</v>
      </c>
      <c r="G466" s="2" t="str">
        <f>Table1_1[[#This Row],[Country Name]]&amp;"|"&amp;Table1_1[[#This Row],[Series Name]]&amp;"|"&amp;Table1_1[[#This Row],[Years]]</f>
        <v>China|Population, total|2010</v>
      </c>
    </row>
    <row r="467" spans="1:7" x14ac:dyDescent="0.3">
      <c r="A467" s="2" t="s">
        <v>44</v>
      </c>
      <c r="B467" s="2" t="s">
        <v>30</v>
      </c>
      <c r="C467" s="2" t="s">
        <v>107</v>
      </c>
      <c r="D467" s="2" t="s">
        <v>106</v>
      </c>
      <c r="E467" s="2" t="s">
        <v>153</v>
      </c>
      <c r="F467" s="2">
        <v>1345035000</v>
      </c>
      <c r="G467" s="2" t="str">
        <f>Table1_1[[#This Row],[Country Name]]&amp;"|"&amp;Table1_1[[#This Row],[Series Name]]&amp;"|"&amp;Table1_1[[#This Row],[Years]]</f>
        <v>China|Population, total|2011</v>
      </c>
    </row>
    <row r="468" spans="1:7" x14ac:dyDescent="0.3">
      <c r="A468" s="2" t="s">
        <v>44</v>
      </c>
      <c r="B468" s="2" t="s">
        <v>30</v>
      </c>
      <c r="C468" s="2" t="s">
        <v>107</v>
      </c>
      <c r="D468" s="2" t="s">
        <v>106</v>
      </c>
      <c r="E468" s="2" t="s">
        <v>154</v>
      </c>
      <c r="F468" s="2">
        <v>1354190000</v>
      </c>
      <c r="G468" s="2" t="str">
        <f>Table1_1[[#This Row],[Country Name]]&amp;"|"&amp;Table1_1[[#This Row],[Series Name]]&amp;"|"&amp;Table1_1[[#This Row],[Years]]</f>
        <v>China|Population, total|2012</v>
      </c>
    </row>
    <row r="469" spans="1:7" x14ac:dyDescent="0.3">
      <c r="A469" s="2" t="s">
        <v>44</v>
      </c>
      <c r="B469" s="2" t="s">
        <v>30</v>
      </c>
      <c r="C469" s="2" t="s">
        <v>107</v>
      </c>
      <c r="D469" s="2" t="s">
        <v>106</v>
      </c>
      <c r="E469" s="2" t="s">
        <v>155</v>
      </c>
      <c r="F469" s="2">
        <v>1363240000</v>
      </c>
      <c r="G469" s="2" t="str">
        <f>Table1_1[[#This Row],[Country Name]]&amp;"|"&amp;Table1_1[[#This Row],[Series Name]]&amp;"|"&amp;Table1_1[[#This Row],[Years]]</f>
        <v>China|Population, total|2013</v>
      </c>
    </row>
    <row r="470" spans="1:7" x14ac:dyDescent="0.3">
      <c r="A470" s="2" t="s">
        <v>44</v>
      </c>
      <c r="B470" s="2" t="s">
        <v>30</v>
      </c>
      <c r="C470" s="2" t="s">
        <v>107</v>
      </c>
      <c r="D470" s="2" t="s">
        <v>106</v>
      </c>
      <c r="E470" s="2" t="s">
        <v>156</v>
      </c>
      <c r="F470" s="2">
        <v>1371860000</v>
      </c>
      <c r="G470" s="2" t="str">
        <f>Table1_1[[#This Row],[Country Name]]&amp;"|"&amp;Table1_1[[#This Row],[Series Name]]&amp;"|"&amp;Table1_1[[#This Row],[Years]]</f>
        <v>China|Population, total|2014</v>
      </c>
    </row>
    <row r="471" spans="1:7" x14ac:dyDescent="0.3">
      <c r="A471" s="2" t="s">
        <v>44</v>
      </c>
      <c r="B471" s="2" t="s">
        <v>30</v>
      </c>
      <c r="C471" s="2" t="s">
        <v>107</v>
      </c>
      <c r="D471" s="2" t="s">
        <v>106</v>
      </c>
      <c r="E471" s="2" t="s">
        <v>157</v>
      </c>
      <c r="F471" s="2">
        <v>1379860000</v>
      </c>
      <c r="G471" s="2" t="str">
        <f>Table1_1[[#This Row],[Country Name]]&amp;"|"&amp;Table1_1[[#This Row],[Series Name]]&amp;"|"&amp;Table1_1[[#This Row],[Years]]</f>
        <v>China|Population, total|2015</v>
      </c>
    </row>
    <row r="472" spans="1:7" x14ac:dyDescent="0.3">
      <c r="A472" s="2" t="s">
        <v>44</v>
      </c>
      <c r="B472" s="2" t="s">
        <v>30</v>
      </c>
      <c r="C472" s="2" t="s">
        <v>107</v>
      </c>
      <c r="D472" s="2" t="s">
        <v>106</v>
      </c>
      <c r="E472" s="2" t="s">
        <v>158</v>
      </c>
      <c r="F472" s="2">
        <v>1387790000</v>
      </c>
      <c r="G472" s="2" t="str">
        <f>Table1_1[[#This Row],[Country Name]]&amp;"|"&amp;Table1_1[[#This Row],[Series Name]]&amp;"|"&amp;Table1_1[[#This Row],[Years]]</f>
        <v>China|Population, total|2016</v>
      </c>
    </row>
    <row r="473" spans="1:7" x14ac:dyDescent="0.3">
      <c r="A473" s="2" t="s">
        <v>44</v>
      </c>
      <c r="B473" s="2" t="s">
        <v>30</v>
      </c>
      <c r="C473" s="2" t="s">
        <v>107</v>
      </c>
      <c r="D473" s="2" t="s">
        <v>106</v>
      </c>
      <c r="E473" s="2" t="s">
        <v>159</v>
      </c>
      <c r="F473" s="2">
        <v>1396215000</v>
      </c>
      <c r="G473" s="2" t="str">
        <f>Table1_1[[#This Row],[Country Name]]&amp;"|"&amp;Table1_1[[#This Row],[Series Name]]&amp;"|"&amp;Table1_1[[#This Row],[Years]]</f>
        <v>China|Population, total|2017</v>
      </c>
    </row>
    <row r="474" spans="1:7" x14ac:dyDescent="0.3">
      <c r="A474" s="2" t="s">
        <v>44</v>
      </c>
      <c r="B474" s="2" t="s">
        <v>30</v>
      </c>
      <c r="C474" s="2" t="s">
        <v>107</v>
      </c>
      <c r="D474" s="2" t="s">
        <v>106</v>
      </c>
      <c r="E474" s="2" t="s">
        <v>160</v>
      </c>
      <c r="F474" s="2">
        <v>1402760000</v>
      </c>
      <c r="G474" s="2" t="str">
        <f>Table1_1[[#This Row],[Country Name]]&amp;"|"&amp;Table1_1[[#This Row],[Series Name]]&amp;"|"&amp;Table1_1[[#This Row],[Years]]</f>
        <v>China|Population, total|2018</v>
      </c>
    </row>
    <row r="475" spans="1:7" x14ac:dyDescent="0.3">
      <c r="A475" s="2" t="s">
        <v>44</v>
      </c>
      <c r="B475" s="2" t="s">
        <v>30</v>
      </c>
      <c r="C475" s="2" t="s">
        <v>107</v>
      </c>
      <c r="D475" s="2" t="s">
        <v>106</v>
      </c>
      <c r="E475" s="2" t="s">
        <v>161</v>
      </c>
      <c r="F475" s="2">
        <v>1407745000</v>
      </c>
      <c r="G475" s="2" t="str">
        <f>Table1_1[[#This Row],[Country Name]]&amp;"|"&amp;Table1_1[[#This Row],[Series Name]]&amp;"|"&amp;Table1_1[[#This Row],[Years]]</f>
        <v>China|Population, total|2019</v>
      </c>
    </row>
    <row r="476" spans="1:7" x14ac:dyDescent="0.3">
      <c r="A476" s="2" t="s">
        <v>44</v>
      </c>
      <c r="B476" s="2" t="s">
        <v>30</v>
      </c>
      <c r="C476" s="2" t="s">
        <v>107</v>
      </c>
      <c r="D476" s="2" t="s">
        <v>106</v>
      </c>
      <c r="E476" s="2" t="s">
        <v>162</v>
      </c>
      <c r="F476" s="2">
        <v>1411100000</v>
      </c>
      <c r="G476" s="2" t="str">
        <f>Table1_1[[#This Row],[Country Name]]&amp;"|"&amp;Table1_1[[#This Row],[Series Name]]&amp;"|"&amp;Table1_1[[#This Row],[Years]]</f>
        <v>China|Population, total|2020</v>
      </c>
    </row>
    <row r="477" spans="1:7" x14ac:dyDescent="0.3">
      <c r="A477" s="2" t="s">
        <v>44</v>
      </c>
      <c r="B477" s="2" t="s">
        <v>30</v>
      </c>
      <c r="C477" s="2" t="s">
        <v>107</v>
      </c>
      <c r="D477" s="2" t="s">
        <v>106</v>
      </c>
      <c r="E477" s="2" t="s">
        <v>163</v>
      </c>
      <c r="F477" s="2">
        <v>1412360000</v>
      </c>
      <c r="G477" s="2" t="str">
        <f>Table1_1[[#This Row],[Country Name]]&amp;"|"&amp;Table1_1[[#This Row],[Series Name]]&amp;"|"&amp;Table1_1[[#This Row],[Years]]</f>
        <v>China|Population, total|2021</v>
      </c>
    </row>
    <row r="478" spans="1:7" x14ac:dyDescent="0.3">
      <c r="A478" s="2" t="s">
        <v>44</v>
      </c>
      <c r="B478" s="2" t="s">
        <v>30</v>
      </c>
      <c r="C478" s="2" t="s">
        <v>107</v>
      </c>
      <c r="D478" s="2" t="s">
        <v>106</v>
      </c>
      <c r="E478" s="2" t="s">
        <v>164</v>
      </c>
      <c r="F478" s="2">
        <v>1412175000</v>
      </c>
      <c r="G478" s="2" t="str">
        <f>Table1_1[[#This Row],[Country Name]]&amp;"|"&amp;Table1_1[[#This Row],[Series Name]]&amp;"|"&amp;Table1_1[[#This Row],[Years]]</f>
        <v>China|Population, total|2022</v>
      </c>
    </row>
    <row r="479" spans="1:7" x14ac:dyDescent="0.3">
      <c r="A479" s="2" t="s">
        <v>44</v>
      </c>
      <c r="B479" s="2" t="s">
        <v>30</v>
      </c>
      <c r="C479" s="2" t="s">
        <v>107</v>
      </c>
      <c r="D479" s="2" t="s">
        <v>106</v>
      </c>
      <c r="E479" s="2" t="s">
        <v>165</v>
      </c>
      <c r="F479" s="2">
        <v>1410710000</v>
      </c>
      <c r="G479" s="2" t="str">
        <f>Table1_1[[#This Row],[Country Name]]&amp;"|"&amp;Table1_1[[#This Row],[Series Name]]&amp;"|"&amp;Table1_1[[#This Row],[Years]]</f>
        <v>China|Population, total|2023</v>
      </c>
    </row>
    <row r="480" spans="1:7" x14ac:dyDescent="0.3">
      <c r="A480" s="2" t="s">
        <v>44</v>
      </c>
      <c r="B480" s="2" t="s">
        <v>30</v>
      </c>
      <c r="C480" s="2" t="s">
        <v>107</v>
      </c>
      <c r="D480" s="2" t="s">
        <v>106</v>
      </c>
      <c r="E480" s="2" t="s">
        <v>166</v>
      </c>
      <c r="F480" s="2">
        <v>1408975000</v>
      </c>
      <c r="G480" s="2" t="str">
        <f>Table1_1[[#This Row],[Country Name]]&amp;"|"&amp;Table1_1[[#This Row],[Series Name]]&amp;"|"&amp;Table1_1[[#This Row],[Years]]</f>
        <v>China|Population, total|2024</v>
      </c>
    </row>
    <row r="481" spans="1:7" x14ac:dyDescent="0.3">
      <c r="A481" s="2" t="s">
        <v>44</v>
      </c>
      <c r="B481" s="2" t="s">
        <v>30</v>
      </c>
      <c r="C481" s="2" t="s">
        <v>107</v>
      </c>
      <c r="D481" s="2" t="s">
        <v>106</v>
      </c>
      <c r="E481" s="2" t="s">
        <v>167</v>
      </c>
      <c r="F481" s="2">
        <v>1406585000</v>
      </c>
      <c r="G481" s="2" t="str">
        <f>Table1_1[[#This Row],[Country Name]]&amp;"|"&amp;Table1_1[[#This Row],[Series Name]]&amp;"|"&amp;Table1_1[[#This Row],[Years]]</f>
        <v>China|Population, total|2025</v>
      </c>
    </row>
    <row r="482" spans="1:7" x14ac:dyDescent="0.3">
      <c r="A482" s="2" t="s">
        <v>9</v>
      </c>
      <c r="B482" s="2" t="s">
        <v>50</v>
      </c>
      <c r="C482" s="2" t="s">
        <v>25</v>
      </c>
      <c r="D482" s="2" t="s">
        <v>89</v>
      </c>
      <c r="E482" s="2" t="s">
        <v>152</v>
      </c>
      <c r="F482" s="2">
        <v>5811578109447.0684</v>
      </c>
      <c r="G482" s="2" t="str">
        <f>Table1_1[[#This Row],[Country Name]]&amp;"|"&amp;Table1_1[[#This Row],[Series Name]]&amp;"|"&amp;Table1_1[[#This Row],[Years]]</f>
        <v>Japan|GDP (current US$)|2010</v>
      </c>
    </row>
    <row r="483" spans="1:7" x14ac:dyDescent="0.3">
      <c r="A483" s="2" t="s">
        <v>9</v>
      </c>
      <c r="B483" s="2" t="s">
        <v>50</v>
      </c>
      <c r="C483" s="2" t="s">
        <v>25</v>
      </c>
      <c r="D483" s="2" t="s">
        <v>89</v>
      </c>
      <c r="E483" s="2" t="s">
        <v>153</v>
      </c>
      <c r="F483" s="2">
        <v>6279422550218.7021</v>
      </c>
      <c r="G483" s="2" t="str">
        <f>Table1_1[[#This Row],[Country Name]]&amp;"|"&amp;Table1_1[[#This Row],[Series Name]]&amp;"|"&amp;Table1_1[[#This Row],[Years]]</f>
        <v>Japan|GDP (current US$)|2011</v>
      </c>
    </row>
    <row r="484" spans="1:7" x14ac:dyDescent="0.3">
      <c r="A484" s="2" t="s">
        <v>9</v>
      </c>
      <c r="B484" s="2" t="s">
        <v>50</v>
      </c>
      <c r="C484" s="2" t="s">
        <v>25</v>
      </c>
      <c r="D484" s="2" t="s">
        <v>89</v>
      </c>
      <c r="E484" s="2" t="s">
        <v>154</v>
      </c>
      <c r="F484" s="2">
        <v>6333803928787.7559</v>
      </c>
      <c r="G484" s="2" t="str">
        <f>Table1_1[[#This Row],[Country Name]]&amp;"|"&amp;Table1_1[[#This Row],[Series Name]]&amp;"|"&amp;Table1_1[[#This Row],[Years]]</f>
        <v>Japan|GDP (current US$)|2012</v>
      </c>
    </row>
    <row r="485" spans="1:7" x14ac:dyDescent="0.3">
      <c r="A485" s="2" t="s">
        <v>9</v>
      </c>
      <c r="B485" s="2" t="s">
        <v>50</v>
      </c>
      <c r="C485" s="2" t="s">
        <v>25</v>
      </c>
      <c r="D485" s="2" t="s">
        <v>89</v>
      </c>
      <c r="E485" s="2" t="s">
        <v>155</v>
      </c>
      <c r="F485" s="2">
        <v>5272297037396.9639</v>
      </c>
      <c r="G485" s="2" t="str">
        <f>Table1_1[[#This Row],[Country Name]]&amp;"|"&amp;Table1_1[[#This Row],[Series Name]]&amp;"|"&amp;Table1_1[[#This Row],[Years]]</f>
        <v>Japan|GDP (current US$)|2013</v>
      </c>
    </row>
    <row r="486" spans="1:7" x14ac:dyDescent="0.3">
      <c r="A486" s="2" t="s">
        <v>9</v>
      </c>
      <c r="B486" s="2" t="s">
        <v>50</v>
      </c>
      <c r="C486" s="2" t="s">
        <v>25</v>
      </c>
      <c r="D486" s="2" t="s">
        <v>89</v>
      </c>
      <c r="E486" s="2" t="s">
        <v>156</v>
      </c>
      <c r="F486" s="2">
        <v>4985763289560.8086</v>
      </c>
      <c r="G486" s="2" t="str">
        <f>Table1_1[[#This Row],[Country Name]]&amp;"|"&amp;Table1_1[[#This Row],[Series Name]]&amp;"|"&amp;Table1_1[[#This Row],[Years]]</f>
        <v>Japan|GDP (current US$)|2014</v>
      </c>
    </row>
    <row r="487" spans="1:7" x14ac:dyDescent="0.3">
      <c r="A487" s="2" t="s">
        <v>9</v>
      </c>
      <c r="B487" s="2" t="s">
        <v>50</v>
      </c>
      <c r="C487" s="2" t="s">
        <v>25</v>
      </c>
      <c r="D487" s="2" t="s">
        <v>89</v>
      </c>
      <c r="E487" s="2" t="s">
        <v>157</v>
      </c>
      <c r="F487" s="2">
        <v>4534438580494.9404</v>
      </c>
      <c r="G487" s="2" t="str">
        <f>Table1_1[[#This Row],[Country Name]]&amp;"|"&amp;Table1_1[[#This Row],[Series Name]]&amp;"|"&amp;Table1_1[[#This Row],[Years]]</f>
        <v>Japan|GDP (current US$)|2015</v>
      </c>
    </row>
    <row r="488" spans="1:7" x14ac:dyDescent="0.3">
      <c r="A488" s="2" t="s">
        <v>9</v>
      </c>
      <c r="B488" s="2" t="s">
        <v>50</v>
      </c>
      <c r="C488" s="2" t="s">
        <v>25</v>
      </c>
      <c r="D488" s="2" t="s">
        <v>89</v>
      </c>
      <c r="E488" s="2" t="s">
        <v>158</v>
      </c>
      <c r="F488" s="2">
        <v>5110357383254.4355</v>
      </c>
      <c r="G488" s="2" t="str">
        <f>Table1_1[[#This Row],[Country Name]]&amp;"|"&amp;Table1_1[[#This Row],[Series Name]]&amp;"|"&amp;Table1_1[[#This Row],[Years]]</f>
        <v>Japan|GDP (current US$)|2016</v>
      </c>
    </row>
    <row r="489" spans="1:7" x14ac:dyDescent="0.3">
      <c r="A489" s="2" t="s">
        <v>9</v>
      </c>
      <c r="B489" s="2" t="s">
        <v>50</v>
      </c>
      <c r="C489" s="2" t="s">
        <v>25</v>
      </c>
      <c r="D489" s="2" t="s">
        <v>89</v>
      </c>
      <c r="E489" s="2" t="s">
        <v>159</v>
      </c>
      <c r="F489" s="2">
        <v>5038231631660.707</v>
      </c>
      <c r="G489" s="2" t="str">
        <f>Table1_1[[#This Row],[Country Name]]&amp;"|"&amp;Table1_1[[#This Row],[Series Name]]&amp;"|"&amp;Table1_1[[#This Row],[Years]]</f>
        <v>Japan|GDP (current US$)|2017</v>
      </c>
    </row>
    <row r="490" spans="1:7" x14ac:dyDescent="0.3">
      <c r="A490" s="2" t="s">
        <v>9</v>
      </c>
      <c r="B490" s="2" t="s">
        <v>50</v>
      </c>
      <c r="C490" s="2" t="s">
        <v>25</v>
      </c>
      <c r="D490" s="2" t="s">
        <v>89</v>
      </c>
      <c r="E490" s="2" t="s">
        <v>160</v>
      </c>
      <c r="F490" s="2">
        <v>5154293721629.5557</v>
      </c>
      <c r="G490" s="2" t="str">
        <f>Table1_1[[#This Row],[Country Name]]&amp;"|"&amp;Table1_1[[#This Row],[Series Name]]&amp;"|"&amp;Table1_1[[#This Row],[Years]]</f>
        <v>Japan|GDP (current US$)|2018</v>
      </c>
    </row>
    <row r="491" spans="1:7" x14ac:dyDescent="0.3">
      <c r="A491" s="2" t="s">
        <v>9</v>
      </c>
      <c r="B491" s="2" t="s">
        <v>50</v>
      </c>
      <c r="C491" s="2" t="s">
        <v>25</v>
      </c>
      <c r="D491" s="2" t="s">
        <v>89</v>
      </c>
      <c r="E491" s="2" t="s">
        <v>161</v>
      </c>
      <c r="F491" s="2">
        <v>5245755000479.0254</v>
      </c>
      <c r="G491" s="2" t="str">
        <f>Table1_1[[#This Row],[Country Name]]&amp;"|"&amp;Table1_1[[#This Row],[Series Name]]&amp;"|"&amp;Table1_1[[#This Row],[Years]]</f>
        <v>Japan|GDP (current US$)|2019</v>
      </c>
    </row>
    <row r="492" spans="1:7" x14ac:dyDescent="0.3">
      <c r="A492" s="2" t="s">
        <v>9</v>
      </c>
      <c r="B492" s="2" t="s">
        <v>50</v>
      </c>
      <c r="C492" s="2" t="s">
        <v>25</v>
      </c>
      <c r="D492" s="2" t="s">
        <v>89</v>
      </c>
      <c r="E492" s="2" t="s">
        <v>162</v>
      </c>
      <c r="F492" s="2">
        <v>5189197543645.3838</v>
      </c>
      <c r="G492" s="2" t="str">
        <f>Table1_1[[#This Row],[Country Name]]&amp;"|"&amp;Table1_1[[#This Row],[Series Name]]&amp;"|"&amp;Table1_1[[#This Row],[Years]]</f>
        <v>Japan|GDP (current US$)|2020</v>
      </c>
    </row>
    <row r="493" spans="1:7" x14ac:dyDescent="0.3">
      <c r="A493" s="2" t="s">
        <v>9</v>
      </c>
      <c r="B493" s="2" t="s">
        <v>50</v>
      </c>
      <c r="C493" s="2" t="s">
        <v>25</v>
      </c>
      <c r="D493" s="2" t="s">
        <v>89</v>
      </c>
      <c r="E493" s="2" t="s">
        <v>163</v>
      </c>
      <c r="F493" s="2">
        <v>5225933520753.0967</v>
      </c>
      <c r="G493" s="2" t="str">
        <f>Table1_1[[#This Row],[Country Name]]&amp;"|"&amp;Table1_1[[#This Row],[Series Name]]&amp;"|"&amp;Table1_1[[#This Row],[Years]]</f>
        <v>Japan|GDP (current US$)|2021</v>
      </c>
    </row>
    <row r="494" spans="1:7" x14ac:dyDescent="0.3">
      <c r="A494" s="2" t="s">
        <v>9</v>
      </c>
      <c r="B494" s="2" t="s">
        <v>50</v>
      </c>
      <c r="C494" s="2" t="s">
        <v>25</v>
      </c>
      <c r="D494" s="2" t="s">
        <v>89</v>
      </c>
      <c r="E494" s="2" t="s">
        <v>164</v>
      </c>
      <c r="F494" s="2">
        <v>4447976207314.7832</v>
      </c>
      <c r="G494" s="2" t="str">
        <f>Table1_1[[#This Row],[Country Name]]&amp;"|"&amp;Table1_1[[#This Row],[Series Name]]&amp;"|"&amp;Table1_1[[#This Row],[Years]]</f>
        <v>Japan|GDP (current US$)|2022</v>
      </c>
    </row>
    <row r="495" spans="1:7" x14ac:dyDescent="0.3">
      <c r="A495" s="2" t="s">
        <v>9</v>
      </c>
      <c r="B495" s="2" t="s">
        <v>50</v>
      </c>
      <c r="C495" s="2" t="s">
        <v>25</v>
      </c>
      <c r="D495" s="2" t="s">
        <v>89</v>
      </c>
      <c r="E495" s="2" t="s">
        <v>165</v>
      </c>
      <c r="F495" s="2">
        <v>4384854269961.9277</v>
      </c>
      <c r="G495" s="2" t="str">
        <f>Table1_1[[#This Row],[Country Name]]&amp;"|"&amp;Table1_1[[#This Row],[Series Name]]&amp;"|"&amp;Table1_1[[#This Row],[Years]]</f>
        <v>Japan|GDP (current US$)|2023</v>
      </c>
    </row>
    <row r="496" spans="1:7" x14ac:dyDescent="0.3">
      <c r="A496" s="2" t="s">
        <v>9</v>
      </c>
      <c r="B496" s="2" t="s">
        <v>50</v>
      </c>
      <c r="C496" s="2" t="s">
        <v>25</v>
      </c>
      <c r="D496" s="2" t="s">
        <v>89</v>
      </c>
      <c r="E496" s="2" t="s">
        <v>166</v>
      </c>
      <c r="F496" s="2">
        <v>4190008188358.5737</v>
      </c>
      <c r="G496" s="2" t="str">
        <f>Table1_1[[#This Row],[Country Name]]&amp;"|"&amp;Table1_1[[#This Row],[Series Name]]&amp;"|"&amp;Table1_1[[#This Row],[Years]]</f>
        <v>Japan|GDP (current US$)|2024</v>
      </c>
    </row>
    <row r="497" spans="1:7" x14ac:dyDescent="0.3">
      <c r="A497" s="2" t="s">
        <v>9</v>
      </c>
      <c r="B497" s="2" t="s">
        <v>50</v>
      </c>
      <c r="C497" s="2" t="s">
        <v>25</v>
      </c>
      <c r="D497" s="2" t="s">
        <v>89</v>
      </c>
      <c r="E497" s="2" t="s">
        <v>167</v>
      </c>
      <c r="F497" s="2">
        <v>4435162999976.9414</v>
      </c>
      <c r="G497" s="2" t="str">
        <f>Table1_1[[#This Row],[Country Name]]&amp;"|"&amp;Table1_1[[#This Row],[Series Name]]&amp;"|"&amp;Table1_1[[#This Row],[Years]]</f>
        <v>Japan|GDP (current US$)|2025</v>
      </c>
    </row>
    <row r="498" spans="1:7" x14ac:dyDescent="0.3">
      <c r="A498" s="2" t="s">
        <v>9</v>
      </c>
      <c r="B498" s="2" t="s">
        <v>50</v>
      </c>
      <c r="C498" s="2" t="s">
        <v>67</v>
      </c>
      <c r="D498" s="2" t="s">
        <v>24</v>
      </c>
      <c r="E498" s="2" t="s">
        <v>152</v>
      </c>
      <c r="F498" s="2">
        <v>4.1364558922223864</v>
      </c>
      <c r="G498" s="2" t="str">
        <f>Table1_1[[#This Row],[Country Name]]&amp;"|"&amp;Table1_1[[#This Row],[Series Name]]&amp;"|"&amp;Table1_1[[#This Row],[Years]]</f>
        <v>Japan|GDP growth (annual %)|2010</v>
      </c>
    </row>
    <row r="499" spans="1:7" x14ac:dyDescent="0.3">
      <c r="A499" s="2" t="s">
        <v>9</v>
      </c>
      <c r="B499" s="2" t="s">
        <v>50</v>
      </c>
      <c r="C499" s="2" t="s">
        <v>67</v>
      </c>
      <c r="D499" s="2" t="s">
        <v>24</v>
      </c>
      <c r="E499" s="2" t="s">
        <v>153</v>
      </c>
      <c r="F499" s="2">
        <v>-0.20035785332981959</v>
      </c>
      <c r="G499" s="2" t="str">
        <f>Table1_1[[#This Row],[Country Name]]&amp;"|"&amp;Table1_1[[#This Row],[Series Name]]&amp;"|"&amp;Table1_1[[#This Row],[Years]]</f>
        <v>Japan|GDP growth (annual %)|2011</v>
      </c>
    </row>
    <row r="500" spans="1:7" x14ac:dyDescent="0.3">
      <c r="A500" s="2" t="s">
        <v>9</v>
      </c>
      <c r="B500" s="2" t="s">
        <v>50</v>
      </c>
      <c r="C500" s="2" t="s">
        <v>67</v>
      </c>
      <c r="D500" s="2" t="s">
        <v>24</v>
      </c>
      <c r="E500" s="2" t="s">
        <v>154</v>
      </c>
      <c r="F500" s="2">
        <v>1.6489345298122515</v>
      </c>
      <c r="G500" s="2" t="str">
        <f>Table1_1[[#This Row],[Country Name]]&amp;"|"&amp;Table1_1[[#This Row],[Series Name]]&amp;"|"&amp;Table1_1[[#This Row],[Years]]</f>
        <v>Japan|GDP growth (annual %)|2012</v>
      </c>
    </row>
    <row r="501" spans="1:7" x14ac:dyDescent="0.3">
      <c r="A501" s="2" t="s">
        <v>9</v>
      </c>
      <c r="B501" s="2" t="s">
        <v>50</v>
      </c>
      <c r="C501" s="2" t="s">
        <v>67</v>
      </c>
      <c r="D501" s="2" t="s">
        <v>24</v>
      </c>
      <c r="E501" s="2" t="s">
        <v>155</v>
      </c>
      <c r="F501" s="2">
        <v>1.9972765339926468</v>
      </c>
      <c r="G501" s="2" t="str">
        <f>Table1_1[[#This Row],[Country Name]]&amp;"|"&amp;Table1_1[[#This Row],[Series Name]]&amp;"|"&amp;Table1_1[[#This Row],[Years]]</f>
        <v>Japan|GDP growth (annual %)|2013</v>
      </c>
    </row>
    <row r="502" spans="1:7" x14ac:dyDescent="0.3">
      <c r="A502" s="2" t="s">
        <v>9</v>
      </c>
      <c r="B502" s="2" t="s">
        <v>50</v>
      </c>
      <c r="C502" s="2" t="s">
        <v>67</v>
      </c>
      <c r="D502" s="2" t="s">
        <v>24</v>
      </c>
      <c r="E502" s="2" t="s">
        <v>156</v>
      </c>
      <c r="F502" s="2">
        <v>0.90591548606586514</v>
      </c>
      <c r="G502" s="2" t="str">
        <f>Table1_1[[#This Row],[Country Name]]&amp;"|"&amp;Table1_1[[#This Row],[Series Name]]&amp;"|"&amp;Table1_1[[#This Row],[Years]]</f>
        <v>Japan|GDP growth (annual %)|2014</v>
      </c>
    </row>
    <row r="503" spans="1:7" x14ac:dyDescent="0.3">
      <c r="A503" s="2" t="s">
        <v>9</v>
      </c>
      <c r="B503" s="2" t="s">
        <v>50</v>
      </c>
      <c r="C503" s="2" t="s">
        <v>67</v>
      </c>
      <c r="D503" s="2" t="s">
        <v>24</v>
      </c>
      <c r="E503" s="2" t="s">
        <v>157</v>
      </c>
      <c r="F503" s="2">
        <v>1.7999773578347487</v>
      </c>
      <c r="G503" s="2" t="str">
        <f>Table1_1[[#This Row],[Country Name]]&amp;"|"&amp;Table1_1[[#This Row],[Series Name]]&amp;"|"&amp;Table1_1[[#This Row],[Years]]</f>
        <v>Japan|GDP growth (annual %)|2015</v>
      </c>
    </row>
    <row r="504" spans="1:7" x14ac:dyDescent="0.3">
      <c r="A504" s="2" t="s">
        <v>9</v>
      </c>
      <c r="B504" s="2" t="s">
        <v>50</v>
      </c>
      <c r="C504" s="2" t="s">
        <v>67</v>
      </c>
      <c r="D504" s="2" t="s">
        <v>24</v>
      </c>
      <c r="E504" s="2" t="s">
        <v>158</v>
      </c>
      <c r="F504" s="2">
        <v>0.70498649511125677</v>
      </c>
      <c r="G504" s="2" t="str">
        <f>Table1_1[[#This Row],[Country Name]]&amp;"|"&amp;Table1_1[[#This Row],[Series Name]]&amp;"|"&amp;Table1_1[[#This Row],[Years]]</f>
        <v>Japan|GDP growth (annual %)|2016</v>
      </c>
    </row>
    <row r="505" spans="1:7" x14ac:dyDescent="0.3">
      <c r="A505" s="2" t="s">
        <v>9</v>
      </c>
      <c r="B505" s="2" t="s">
        <v>50</v>
      </c>
      <c r="C505" s="2" t="s">
        <v>67</v>
      </c>
      <c r="D505" s="2" t="s">
        <v>24</v>
      </c>
      <c r="E505" s="2" t="s">
        <v>159</v>
      </c>
      <c r="F505" s="2">
        <v>1.6234506224544134</v>
      </c>
      <c r="G505" s="2" t="str">
        <f>Table1_1[[#This Row],[Country Name]]&amp;"|"&amp;Table1_1[[#This Row],[Series Name]]&amp;"|"&amp;Table1_1[[#This Row],[Years]]</f>
        <v>Japan|GDP growth (annual %)|2017</v>
      </c>
    </row>
    <row r="506" spans="1:7" x14ac:dyDescent="0.3">
      <c r="A506" s="2" t="s">
        <v>9</v>
      </c>
      <c r="B506" s="2" t="s">
        <v>50</v>
      </c>
      <c r="C506" s="2" t="s">
        <v>67</v>
      </c>
      <c r="D506" s="2" t="s">
        <v>24</v>
      </c>
      <c r="E506" s="2" t="s">
        <v>160</v>
      </c>
      <c r="F506" s="2">
        <v>0.83414384596558477</v>
      </c>
      <c r="G506" s="2" t="str">
        <f>Table1_1[[#This Row],[Country Name]]&amp;"|"&amp;Table1_1[[#This Row],[Series Name]]&amp;"|"&amp;Table1_1[[#This Row],[Years]]</f>
        <v>Japan|GDP growth (annual %)|2018</v>
      </c>
    </row>
    <row r="507" spans="1:7" x14ac:dyDescent="0.3">
      <c r="A507" s="2" t="s">
        <v>9</v>
      </c>
      <c r="B507" s="2" t="s">
        <v>50</v>
      </c>
      <c r="C507" s="2" t="s">
        <v>67</v>
      </c>
      <c r="D507" s="2" t="s">
        <v>24</v>
      </c>
      <c r="E507" s="2" t="s">
        <v>161</v>
      </c>
      <c r="F507" s="2">
        <v>-0.30849692114325933</v>
      </c>
      <c r="G507" s="2" t="str">
        <f>Table1_1[[#This Row],[Country Name]]&amp;"|"&amp;Table1_1[[#This Row],[Series Name]]&amp;"|"&amp;Table1_1[[#This Row],[Years]]</f>
        <v>Japan|GDP growth (annual %)|2019</v>
      </c>
    </row>
    <row r="508" spans="1:7" x14ac:dyDescent="0.3">
      <c r="A508" s="2" t="s">
        <v>9</v>
      </c>
      <c r="B508" s="2" t="s">
        <v>50</v>
      </c>
      <c r="C508" s="2" t="s">
        <v>67</v>
      </c>
      <c r="D508" s="2" t="s">
        <v>24</v>
      </c>
      <c r="E508" s="2" t="s">
        <v>162</v>
      </c>
      <c r="F508" s="2">
        <v>-4.2832794267557261</v>
      </c>
      <c r="G508" s="2" t="str">
        <f>Table1_1[[#This Row],[Country Name]]&amp;"|"&amp;Table1_1[[#This Row],[Series Name]]&amp;"|"&amp;Table1_1[[#This Row],[Years]]</f>
        <v>Japan|GDP growth (annual %)|2020</v>
      </c>
    </row>
    <row r="509" spans="1:7" x14ac:dyDescent="0.3">
      <c r="A509" s="2" t="s">
        <v>9</v>
      </c>
      <c r="B509" s="2" t="s">
        <v>50</v>
      </c>
      <c r="C509" s="2" t="s">
        <v>67</v>
      </c>
      <c r="D509" s="2" t="s">
        <v>24</v>
      </c>
      <c r="E509" s="2" t="s">
        <v>163</v>
      </c>
      <c r="F509" s="2">
        <v>3.5641953147447509</v>
      </c>
      <c r="G509" s="2" t="str">
        <f>Table1_1[[#This Row],[Country Name]]&amp;"|"&amp;Table1_1[[#This Row],[Series Name]]&amp;"|"&amp;Table1_1[[#This Row],[Years]]</f>
        <v>Japan|GDP growth (annual %)|2021</v>
      </c>
    </row>
    <row r="510" spans="1:7" x14ac:dyDescent="0.3">
      <c r="A510" s="2" t="s">
        <v>9</v>
      </c>
      <c r="B510" s="2" t="s">
        <v>50</v>
      </c>
      <c r="C510" s="2" t="s">
        <v>67</v>
      </c>
      <c r="D510" s="2" t="s">
        <v>24</v>
      </c>
      <c r="E510" s="2" t="s">
        <v>164</v>
      </c>
      <c r="F510" s="2">
        <v>1.3316475065374078</v>
      </c>
      <c r="G510" s="2" t="str">
        <f>Table1_1[[#This Row],[Country Name]]&amp;"|"&amp;Table1_1[[#This Row],[Series Name]]&amp;"|"&amp;Table1_1[[#This Row],[Years]]</f>
        <v>Japan|GDP growth (annual %)|2022</v>
      </c>
    </row>
    <row r="511" spans="1:7" x14ac:dyDescent="0.3">
      <c r="A511" s="2" t="s">
        <v>9</v>
      </c>
      <c r="B511" s="2" t="s">
        <v>50</v>
      </c>
      <c r="C511" s="2" t="s">
        <v>67</v>
      </c>
      <c r="D511" s="2" t="s">
        <v>24</v>
      </c>
      <c r="E511" s="2" t="s">
        <v>165</v>
      </c>
      <c r="F511" s="2">
        <v>0.72078530474981051</v>
      </c>
      <c r="G511" s="2" t="str">
        <f>Table1_1[[#This Row],[Country Name]]&amp;"|"&amp;Table1_1[[#This Row],[Series Name]]&amp;"|"&amp;Table1_1[[#This Row],[Years]]</f>
        <v>Japan|GDP growth (annual %)|2023</v>
      </c>
    </row>
    <row r="512" spans="1:7" x14ac:dyDescent="0.3">
      <c r="A512" s="2" t="s">
        <v>9</v>
      </c>
      <c r="B512" s="2" t="s">
        <v>50</v>
      </c>
      <c r="C512" s="2" t="s">
        <v>67</v>
      </c>
      <c r="D512" s="2" t="s">
        <v>24</v>
      </c>
      <c r="E512" s="2" t="s">
        <v>166</v>
      </c>
      <c r="F512" s="2">
        <v>-0.24008423604169593</v>
      </c>
      <c r="G512" s="2" t="str">
        <f>Table1_1[[#This Row],[Country Name]]&amp;"|"&amp;Table1_1[[#This Row],[Series Name]]&amp;"|"&amp;Table1_1[[#This Row],[Years]]</f>
        <v>Japan|GDP growth (annual %)|2024</v>
      </c>
    </row>
    <row r="513" spans="1:7" x14ac:dyDescent="0.3">
      <c r="A513" s="2" t="s">
        <v>9</v>
      </c>
      <c r="B513" s="2" t="s">
        <v>50</v>
      </c>
      <c r="C513" s="2" t="s">
        <v>67</v>
      </c>
      <c r="D513" s="2" t="s">
        <v>24</v>
      </c>
      <c r="E513" s="2" t="s">
        <v>167</v>
      </c>
      <c r="F513" s="2">
        <v>1.1931128844459948</v>
      </c>
      <c r="G513" s="2" t="str">
        <f>Table1_1[[#This Row],[Country Name]]&amp;"|"&amp;Table1_1[[#This Row],[Series Name]]&amp;"|"&amp;Table1_1[[#This Row],[Years]]</f>
        <v>Japan|GDP growth (annual %)|2025</v>
      </c>
    </row>
    <row r="514" spans="1:7" x14ac:dyDescent="0.3">
      <c r="A514" s="2" t="s">
        <v>9</v>
      </c>
      <c r="B514" s="2" t="s">
        <v>50</v>
      </c>
      <c r="C514" s="2" t="s">
        <v>79</v>
      </c>
      <c r="D514" s="2" t="s">
        <v>91</v>
      </c>
      <c r="E514" s="2" t="s">
        <v>152</v>
      </c>
      <c r="F514" s="2">
        <v>-0.72824320751777882</v>
      </c>
      <c r="G514" s="2" t="str">
        <f>Table1_1[[#This Row],[Country Name]]&amp;"|"&amp;Table1_1[[#This Row],[Series Name]]&amp;"|"&amp;Table1_1[[#This Row],[Years]]</f>
        <v>Japan|Inflation, consumer prices (annual %)|2010</v>
      </c>
    </row>
    <row r="515" spans="1:7" x14ac:dyDescent="0.3">
      <c r="A515" s="2" t="s">
        <v>9</v>
      </c>
      <c r="B515" s="2" t="s">
        <v>50</v>
      </c>
      <c r="C515" s="2" t="s">
        <v>79</v>
      </c>
      <c r="D515" s="2" t="s">
        <v>91</v>
      </c>
      <c r="E515" s="2" t="s">
        <v>153</v>
      </c>
      <c r="F515" s="2">
        <v>-0.27245561610124008</v>
      </c>
      <c r="G515" s="2" t="str">
        <f>Table1_1[[#This Row],[Country Name]]&amp;"|"&amp;Table1_1[[#This Row],[Series Name]]&amp;"|"&amp;Table1_1[[#This Row],[Years]]</f>
        <v>Japan|Inflation, consumer prices (annual %)|2011</v>
      </c>
    </row>
    <row r="516" spans="1:7" x14ac:dyDescent="0.3">
      <c r="A516" s="2" t="s">
        <v>9</v>
      </c>
      <c r="B516" s="2" t="s">
        <v>50</v>
      </c>
      <c r="C516" s="2" t="s">
        <v>79</v>
      </c>
      <c r="D516" s="2" t="s">
        <v>91</v>
      </c>
      <c r="E516" s="2" t="s">
        <v>154</v>
      </c>
      <c r="F516" s="2">
        <v>-4.4064510443260187E-2</v>
      </c>
      <c r="G516" s="2" t="str">
        <f>Table1_1[[#This Row],[Country Name]]&amp;"|"&amp;Table1_1[[#This Row],[Series Name]]&amp;"|"&amp;Table1_1[[#This Row],[Years]]</f>
        <v>Japan|Inflation, consumer prices (annual %)|2012</v>
      </c>
    </row>
    <row r="517" spans="1:7" x14ac:dyDescent="0.3">
      <c r="A517" s="2" t="s">
        <v>9</v>
      </c>
      <c r="B517" s="2" t="s">
        <v>50</v>
      </c>
      <c r="C517" s="2" t="s">
        <v>79</v>
      </c>
      <c r="D517" s="2" t="s">
        <v>91</v>
      </c>
      <c r="E517" s="2" t="s">
        <v>155</v>
      </c>
      <c r="F517" s="2">
        <v>0.33503791218474138</v>
      </c>
      <c r="G517" s="2" t="str">
        <f>Table1_1[[#This Row],[Country Name]]&amp;"|"&amp;Table1_1[[#This Row],[Series Name]]&amp;"|"&amp;Table1_1[[#This Row],[Years]]</f>
        <v>Japan|Inflation, consumer prices (annual %)|2013</v>
      </c>
    </row>
    <row r="518" spans="1:7" x14ac:dyDescent="0.3">
      <c r="A518" s="2" t="s">
        <v>9</v>
      </c>
      <c r="B518" s="2" t="s">
        <v>50</v>
      </c>
      <c r="C518" s="2" t="s">
        <v>79</v>
      </c>
      <c r="D518" s="2" t="s">
        <v>91</v>
      </c>
      <c r="E518" s="2" t="s">
        <v>156</v>
      </c>
      <c r="F518" s="2">
        <v>2.7592267135325308</v>
      </c>
      <c r="G518" s="2" t="str">
        <f>Table1_1[[#This Row],[Country Name]]&amp;"|"&amp;Table1_1[[#This Row],[Series Name]]&amp;"|"&amp;Table1_1[[#This Row],[Years]]</f>
        <v>Japan|Inflation, consumer prices (annual %)|2014</v>
      </c>
    </row>
    <row r="519" spans="1:7" x14ac:dyDescent="0.3">
      <c r="A519" s="2" t="s">
        <v>9</v>
      </c>
      <c r="B519" s="2" t="s">
        <v>50</v>
      </c>
      <c r="C519" s="2" t="s">
        <v>79</v>
      </c>
      <c r="D519" s="2" t="s">
        <v>91</v>
      </c>
      <c r="E519" s="2" t="s">
        <v>157</v>
      </c>
      <c r="F519" s="2">
        <v>0.79527963057983919</v>
      </c>
      <c r="G519" s="2" t="str">
        <f>Table1_1[[#This Row],[Country Name]]&amp;"|"&amp;Table1_1[[#This Row],[Series Name]]&amp;"|"&amp;Table1_1[[#This Row],[Years]]</f>
        <v>Japan|Inflation, consumer prices (annual %)|2015</v>
      </c>
    </row>
    <row r="520" spans="1:7" x14ac:dyDescent="0.3">
      <c r="A520" s="2" t="s">
        <v>9</v>
      </c>
      <c r="B520" s="2" t="s">
        <v>50</v>
      </c>
      <c r="C520" s="2" t="s">
        <v>79</v>
      </c>
      <c r="D520" s="2" t="s">
        <v>91</v>
      </c>
      <c r="E520" s="2" t="s">
        <v>158</v>
      </c>
      <c r="F520" s="2">
        <v>-0.12725884448975369</v>
      </c>
      <c r="G520" s="2" t="str">
        <f>Table1_1[[#This Row],[Country Name]]&amp;"|"&amp;Table1_1[[#This Row],[Series Name]]&amp;"|"&amp;Table1_1[[#This Row],[Years]]</f>
        <v>Japan|Inflation, consumer prices (annual %)|2016</v>
      </c>
    </row>
    <row r="521" spans="1:7" x14ac:dyDescent="0.3">
      <c r="A521" s="2" t="s">
        <v>9</v>
      </c>
      <c r="B521" s="2" t="s">
        <v>50</v>
      </c>
      <c r="C521" s="2" t="s">
        <v>79</v>
      </c>
      <c r="D521" s="2" t="s">
        <v>91</v>
      </c>
      <c r="E521" s="2" t="s">
        <v>159</v>
      </c>
      <c r="F521" s="2">
        <v>0.48419979612638508</v>
      </c>
      <c r="G521" s="2" t="str">
        <f>Table1_1[[#This Row],[Country Name]]&amp;"|"&amp;Table1_1[[#This Row],[Series Name]]&amp;"|"&amp;Table1_1[[#This Row],[Years]]</f>
        <v>Japan|Inflation, consumer prices (annual %)|2017</v>
      </c>
    </row>
    <row r="522" spans="1:7" x14ac:dyDescent="0.3">
      <c r="A522" s="2" t="s">
        <v>9</v>
      </c>
      <c r="B522" s="2" t="s">
        <v>50</v>
      </c>
      <c r="C522" s="2" t="s">
        <v>79</v>
      </c>
      <c r="D522" s="2" t="s">
        <v>91</v>
      </c>
      <c r="E522" s="2" t="s">
        <v>160</v>
      </c>
      <c r="F522" s="2">
        <v>0.98909459802184796</v>
      </c>
      <c r="G522" s="2" t="str">
        <f>Table1_1[[#This Row],[Country Name]]&amp;"|"&amp;Table1_1[[#This Row],[Series Name]]&amp;"|"&amp;Table1_1[[#This Row],[Years]]</f>
        <v>Japan|Inflation, consumer prices (annual %)|2018</v>
      </c>
    </row>
    <row r="523" spans="1:7" x14ac:dyDescent="0.3">
      <c r="A523" s="2" t="s">
        <v>9</v>
      </c>
      <c r="B523" s="2" t="s">
        <v>50</v>
      </c>
      <c r="C523" s="2" t="s">
        <v>79</v>
      </c>
      <c r="D523" s="2" t="s">
        <v>91</v>
      </c>
      <c r="E523" s="2" t="s">
        <v>161</v>
      </c>
      <c r="F523" s="2">
        <v>0.4687761593839499</v>
      </c>
      <c r="G523" s="2" t="str">
        <f>Table1_1[[#This Row],[Country Name]]&amp;"|"&amp;Table1_1[[#This Row],[Series Name]]&amp;"|"&amp;Table1_1[[#This Row],[Years]]</f>
        <v>Japan|Inflation, consumer prices (annual %)|2019</v>
      </c>
    </row>
    <row r="524" spans="1:7" x14ac:dyDescent="0.3">
      <c r="A524" s="2" t="s">
        <v>9</v>
      </c>
      <c r="B524" s="2" t="s">
        <v>50</v>
      </c>
      <c r="C524" s="2" t="s">
        <v>79</v>
      </c>
      <c r="D524" s="2" t="s">
        <v>91</v>
      </c>
      <c r="E524" s="2" t="s">
        <v>162</v>
      </c>
      <c r="F524" s="2">
        <v>-2.4995834027731041E-2</v>
      </c>
      <c r="G524" s="2" t="str">
        <f>Table1_1[[#This Row],[Country Name]]&amp;"|"&amp;Table1_1[[#This Row],[Series Name]]&amp;"|"&amp;Table1_1[[#This Row],[Years]]</f>
        <v>Japan|Inflation, consumer prices (annual %)|2020</v>
      </c>
    </row>
    <row r="525" spans="1:7" x14ac:dyDescent="0.3">
      <c r="A525" s="2" t="s">
        <v>9</v>
      </c>
      <c r="B525" s="2" t="s">
        <v>50</v>
      </c>
      <c r="C525" s="2" t="s">
        <v>79</v>
      </c>
      <c r="D525" s="2" t="s">
        <v>91</v>
      </c>
      <c r="E525" s="2" t="s">
        <v>163</v>
      </c>
      <c r="F525" s="2">
        <v>-0.2333527793982636</v>
      </c>
      <c r="G525" s="2" t="str">
        <f>Table1_1[[#This Row],[Country Name]]&amp;"|"&amp;Table1_1[[#This Row],[Series Name]]&amp;"|"&amp;Table1_1[[#This Row],[Years]]</f>
        <v>Japan|Inflation, consumer prices (annual %)|2021</v>
      </c>
    </row>
    <row r="526" spans="1:7" x14ac:dyDescent="0.3">
      <c r="A526" s="2" t="s">
        <v>9</v>
      </c>
      <c r="B526" s="2" t="s">
        <v>50</v>
      </c>
      <c r="C526" s="2" t="s">
        <v>79</v>
      </c>
      <c r="D526" s="2" t="s">
        <v>91</v>
      </c>
      <c r="E526" s="2" t="s">
        <v>164</v>
      </c>
      <c r="F526" s="2">
        <v>2.497702781722547</v>
      </c>
      <c r="G526" s="2" t="str">
        <f>Table1_1[[#This Row],[Country Name]]&amp;"|"&amp;Table1_1[[#This Row],[Series Name]]&amp;"|"&amp;Table1_1[[#This Row],[Years]]</f>
        <v>Japan|Inflation, consumer prices (annual %)|2022</v>
      </c>
    </row>
    <row r="527" spans="1:7" x14ac:dyDescent="0.3">
      <c r="A527" s="2" t="s">
        <v>9</v>
      </c>
      <c r="B527" s="2" t="s">
        <v>50</v>
      </c>
      <c r="C527" s="2" t="s">
        <v>79</v>
      </c>
      <c r="D527" s="2" t="s">
        <v>91</v>
      </c>
      <c r="E527" s="2" t="s">
        <v>165</v>
      </c>
      <c r="F527" s="2">
        <v>3.2681336593316348</v>
      </c>
      <c r="G527" s="2" t="str">
        <f>Table1_1[[#This Row],[Country Name]]&amp;"|"&amp;Table1_1[[#This Row],[Series Name]]&amp;"|"&amp;Table1_1[[#This Row],[Years]]</f>
        <v>Japan|Inflation, consumer prices (annual %)|2023</v>
      </c>
    </row>
    <row r="528" spans="1:7" x14ac:dyDescent="0.3">
      <c r="A528" s="2" t="s">
        <v>9</v>
      </c>
      <c r="B528" s="2" t="s">
        <v>50</v>
      </c>
      <c r="C528" s="2" t="s">
        <v>79</v>
      </c>
      <c r="D528" s="2" t="s">
        <v>91</v>
      </c>
      <c r="E528" s="2" t="s">
        <v>166</v>
      </c>
      <c r="F528" s="2">
        <v>2.7385368163524069</v>
      </c>
      <c r="G528" s="2" t="str">
        <f>Table1_1[[#This Row],[Country Name]]&amp;"|"&amp;Table1_1[[#This Row],[Series Name]]&amp;"|"&amp;Table1_1[[#This Row],[Years]]</f>
        <v>Japan|Inflation, consumer prices (annual %)|2024</v>
      </c>
    </row>
    <row r="529" spans="1:7" x14ac:dyDescent="0.3">
      <c r="A529" s="2" t="s">
        <v>9</v>
      </c>
      <c r="B529" s="2" t="s">
        <v>50</v>
      </c>
      <c r="C529" s="2" t="s">
        <v>79</v>
      </c>
      <c r="D529" s="2" t="s">
        <v>91</v>
      </c>
      <c r="E529" s="2" t="s">
        <v>167</v>
      </c>
      <c r="F529" s="2">
        <v>3.1725303426024771</v>
      </c>
      <c r="G529" s="2" t="str">
        <f>Table1_1[[#This Row],[Country Name]]&amp;"|"&amp;Table1_1[[#This Row],[Series Name]]&amp;"|"&amp;Table1_1[[#This Row],[Years]]</f>
        <v>Japan|Inflation, consumer prices (annual %)|2025</v>
      </c>
    </row>
    <row r="530" spans="1:7" x14ac:dyDescent="0.3">
      <c r="A530" s="2" t="s">
        <v>9</v>
      </c>
      <c r="B530" s="2" t="s">
        <v>50</v>
      </c>
      <c r="C530" s="2" t="s">
        <v>146</v>
      </c>
      <c r="D530" s="2" t="s">
        <v>131</v>
      </c>
      <c r="E530" s="2" t="s">
        <v>152</v>
      </c>
      <c r="F530" s="2">
        <v>5.1020000000000003</v>
      </c>
      <c r="G530" s="2" t="str">
        <f>Table1_1[[#This Row],[Country Name]]&amp;"|"&amp;Table1_1[[#This Row],[Series Name]]&amp;"|"&amp;Table1_1[[#This Row],[Years]]</f>
        <v>Japan|Unemployment, total (% of total labor force) (modeled ILO estimate)|2010</v>
      </c>
    </row>
    <row r="531" spans="1:7" x14ac:dyDescent="0.3">
      <c r="A531" s="2" t="s">
        <v>9</v>
      </c>
      <c r="B531" s="2" t="s">
        <v>50</v>
      </c>
      <c r="C531" s="2" t="s">
        <v>146</v>
      </c>
      <c r="D531" s="2" t="s">
        <v>131</v>
      </c>
      <c r="E531" s="2" t="s">
        <v>153</v>
      </c>
      <c r="F531" s="2">
        <v>4.55</v>
      </c>
      <c r="G531" s="2" t="str">
        <f>Table1_1[[#This Row],[Country Name]]&amp;"|"&amp;Table1_1[[#This Row],[Series Name]]&amp;"|"&amp;Table1_1[[#This Row],[Years]]</f>
        <v>Japan|Unemployment, total (% of total labor force) (modeled ILO estimate)|2011</v>
      </c>
    </row>
    <row r="532" spans="1:7" x14ac:dyDescent="0.3">
      <c r="A532" s="2" t="s">
        <v>9</v>
      </c>
      <c r="B532" s="2" t="s">
        <v>50</v>
      </c>
      <c r="C532" s="2" t="s">
        <v>146</v>
      </c>
      <c r="D532" s="2" t="s">
        <v>131</v>
      </c>
      <c r="E532" s="2" t="s">
        <v>154</v>
      </c>
      <c r="F532" s="2">
        <v>4.3579999999999997</v>
      </c>
      <c r="G532" s="2" t="str">
        <f>Table1_1[[#This Row],[Country Name]]&amp;"|"&amp;Table1_1[[#This Row],[Series Name]]&amp;"|"&amp;Table1_1[[#This Row],[Years]]</f>
        <v>Japan|Unemployment, total (% of total labor force) (modeled ILO estimate)|2012</v>
      </c>
    </row>
    <row r="533" spans="1:7" x14ac:dyDescent="0.3">
      <c r="A533" s="2" t="s">
        <v>9</v>
      </c>
      <c r="B533" s="2" t="s">
        <v>50</v>
      </c>
      <c r="C533" s="2" t="s">
        <v>146</v>
      </c>
      <c r="D533" s="2" t="s">
        <v>131</v>
      </c>
      <c r="E533" s="2" t="s">
        <v>155</v>
      </c>
      <c r="F533" s="2">
        <v>4.0380000000000003</v>
      </c>
      <c r="G533" s="2" t="str">
        <f>Table1_1[[#This Row],[Country Name]]&amp;"|"&amp;Table1_1[[#This Row],[Series Name]]&amp;"|"&amp;Table1_1[[#This Row],[Years]]</f>
        <v>Japan|Unemployment, total (% of total labor force) (modeled ILO estimate)|2013</v>
      </c>
    </row>
    <row r="534" spans="1:7" x14ac:dyDescent="0.3">
      <c r="A534" s="2" t="s">
        <v>9</v>
      </c>
      <c r="B534" s="2" t="s">
        <v>50</v>
      </c>
      <c r="C534" s="2" t="s">
        <v>146</v>
      </c>
      <c r="D534" s="2" t="s">
        <v>131</v>
      </c>
      <c r="E534" s="2" t="s">
        <v>156</v>
      </c>
      <c r="F534" s="2">
        <v>3.589</v>
      </c>
      <c r="G534" s="2" t="str">
        <f>Table1_1[[#This Row],[Country Name]]&amp;"|"&amp;Table1_1[[#This Row],[Series Name]]&amp;"|"&amp;Table1_1[[#This Row],[Years]]</f>
        <v>Japan|Unemployment, total (% of total labor force) (modeled ILO estimate)|2014</v>
      </c>
    </row>
    <row r="535" spans="1:7" x14ac:dyDescent="0.3">
      <c r="A535" s="2" t="s">
        <v>9</v>
      </c>
      <c r="B535" s="2" t="s">
        <v>50</v>
      </c>
      <c r="C535" s="2" t="s">
        <v>146</v>
      </c>
      <c r="D535" s="2" t="s">
        <v>131</v>
      </c>
      <c r="E535" s="2" t="s">
        <v>157</v>
      </c>
      <c r="F535" s="2">
        <v>3.3849999999999998</v>
      </c>
      <c r="G535" s="2" t="str">
        <f>Table1_1[[#This Row],[Country Name]]&amp;"|"&amp;Table1_1[[#This Row],[Series Name]]&amp;"|"&amp;Table1_1[[#This Row],[Years]]</f>
        <v>Japan|Unemployment, total (% of total labor force) (modeled ILO estimate)|2015</v>
      </c>
    </row>
    <row r="536" spans="1:7" x14ac:dyDescent="0.3">
      <c r="A536" s="2" t="s">
        <v>9</v>
      </c>
      <c r="B536" s="2" t="s">
        <v>50</v>
      </c>
      <c r="C536" s="2" t="s">
        <v>146</v>
      </c>
      <c r="D536" s="2" t="s">
        <v>131</v>
      </c>
      <c r="E536" s="2" t="s">
        <v>158</v>
      </c>
      <c r="F536" s="2">
        <v>3.1320000000000001</v>
      </c>
      <c r="G536" s="2" t="str">
        <f>Table1_1[[#This Row],[Country Name]]&amp;"|"&amp;Table1_1[[#This Row],[Series Name]]&amp;"|"&amp;Table1_1[[#This Row],[Years]]</f>
        <v>Japan|Unemployment, total (% of total labor force) (modeled ILO estimate)|2016</v>
      </c>
    </row>
    <row r="537" spans="1:7" x14ac:dyDescent="0.3">
      <c r="A537" s="2" t="s">
        <v>9</v>
      </c>
      <c r="B537" s="2" t="s">
        <v>50</v>
      </c>
      <c r="C537" s="2" t="s">
        <v>146</v>
      </c>
      <c r="D537" s="2" t="s">
        <v>131</v>
      </c>
      <c r="E537" s="2" t="s">
        <v>159</v>
      </c>
      <c r="F537" s="2">
        <v>2.8220000000000001</v>
      </c>
      <c r="G537" s="2" t="str">
        <f>Table1_1[[#This Row],[Country Name]]&amp;"|"&amp;Table1_1[[#This Row],[Series Name]]&amp;"|"&amp;Table1_1[[#This Row],[Years]]</f>
        <v>Japan|Unemployment, total (% of total labor force) (modeled ILO estimate)|2017</v>
      </c>
    </row>
    <row r="538" spans="1:7" x14ac:dyDescent="0.3">
      <c r="A538" s="2" t="s">
        <v>9</v>
      </c>
      <c r="B538" s="2" t="s">
        <v>50</v>
      </c>
      <c r="C538" s="2" t="s">
        <v>146</v>
      </c>
      <c r="D538" s="2" t="s">
        <v>131</v>
      </c>
      <c r="E538" s="2" t="s">
        <v>160</v>
      </c>
      <c r="F538" s="2">
        <v>2.4670000000000001</v>
      </c>
      <c r="G538" s="2" t="str">
        <f>Table1_1[[#This Row],[Country Name]]&amp;"|"&amp;Table1_1[[#This Row],[Series Name]]&amp;"|"&amp;Table1_1[[#This Row],[Years]]</f>
        <v>Japan|Unemployment, total (% of total labor force) (modeled ILO estimate)|2018</v>
      </c>
    </row>
    <row r="539" spans="1:7" x14ac:dyDescent="0.3">
      <c r="A539" s="2" t="s">
        <v>9</v>
      </c>
      <c r="B539" s="2" t="s">
        <v>50</v>
      </c>
      <c r="C539" s="2" t="s">
        <v>146</v>
      </c>
      <c r="D539" s="2" t="s">
        <v>131</v>
      </c>
      <c r="E539" s="2" t="s">
        <v>161</v>
      </c>
      <c r="F539" s="2">
        <v>2.351</v>
      </c>
      <c r="G539" s="2" t="str">
        <f>Table1_1[[#This Row],[Country Name]]&amp;"|"&amp;Table1_1[[#This Row],[Series Name]]&amp;"|"&amp;Table1_1[[#This Row],[Years]]</f>
        <v>Japan|Unemployment, total (% of total labor force) (modeled ILO estimate)|2019</v>
      </c>
    </row>
    <row r="540" spans="1:7" x14ac:dyDescent="0.3">
      <c r="A540" s="2" t="s">
        <v>9</v>
      </c>
      <c r="B540" s="2" t="s">
        <v>50</v>
      </c>
      <c r="C540" s="2" t="s">
        <v>146</v>
      </c>
      <c r="D540" s="2" t="s">
        <v>131</v>
      </c>
      <c r="E540" s="2" t="s">
        <v>162</v>
      </c>
      <c r="F540" s="2">
        <v>2.8090000000000002</v>
      </c>
      <c r="G540" s="2" t="str">
        <f>Table1_1[[#This Row],[Country Name]]&amp;"|"&amp;Table1_1[[#This Row],[Series Name]]&amp;"|"&amp;Table1_1[[#This Row],[Years]]</f>
        <v>Japan|Unemployment, total (% of total labor force) (modeled ILO estimate)|2020</v>
      </c>
    </row>
    <row r="541" spans="1:7" x14ac:dyDescent="0.3">
      <c r="A541" s="2" t="s">
        <v>9</v>
      </c>
      <c r="B541" s="2" t="s">
        <v>50</v>
      </c>
      <c r="C541" s="2" t="s">
        <v>146</v>
      </c>
      <c r="D541" s="2" t="s">
        <v>131</v>
      </c>
      <c r="E541" s="2" t="s">
        <v>163</v>
      </c>
      <c r="F541" s="2">
        <v>2.8079999999999998</v>
      </c>
      <c r="G541" s="2" t="str">
        <f>Table1_1[[#This Row],[Country Name]]&amp;"|"&amp;Table1_1[[#This Row],[Series Name]]&amp;"|"&amp;Table1_1[[#This Row],[Years]]</f>
        <v>Japan|Unemployment, total (% of total labor force) (modeled ILO estimate)|2021</v>
      </c>
    </row>
    <row r="542" spans="1:7" x14ac:dyDescent="0.3">
      <c r="A542" s="2" t="s">
        <v>9</v>
      </c>
      <c r="B542" s="2" t="s">
        <v>50</v>
      </c>
      <c r="C542" s="2" t="s">
        <v>146</v>
      </c>
      <c r="D542" s="2" t="s">
        <v>131</v>
      </c>
      <c r="E542" s="2" t="s">
        <v>164</v>
      </c>
      <c r="F542" s="2">
        <v>2.6139999999999999</v>
      </c>
      <c r="G542" s="2" t="str">
        <f>Table1_1[[#This Row],[Country Name]]&amp;"|"&amp;Table1_1[[#This Row],[Series Name]]&amp;"|"&amp;Table1_1[[#This Row],[Years]]</f>
        <v>Japan|Unemployment, total (% of total labor force) (modeled ILO estimate)|2022</v>
      </c>
    </row>
    <row r="543" spans="1:7" x14ac:dyDescent="0.3">
      <c r="A543" s="2" t="s">
        <v>9</v>
      </c>
      <c r="B543" s="2" t="s">
        <v>50</v>
      </c>
      <c r="C543" s="2" t="s">
        <v>146</v>
      </c>
      <c r="D543" s="2" t="s">
        <v>131</v>
      </c>
      <c r="E543" s="2" t="s">
        <v>165</v>
      </c>
      <c r="F543" s="2">
        <v>2.6</v>
      </c>
      <c r="G543" s="2" t="str">
        <f>Table1_1[[#This Row],[Country Name]]&amp;"|"&amp;Table1_1[[#This Row],[Series Name]]&amp;"|"&amp;Table1_1[[#This Row],[Years]]</f>
        <v>Japan|Unemployment, total (% of total labor force) (modeled ILO estimate)|2023</v>
      </c>
    </row>
    <row r="544" spans="1:7" x14ac:dyDescent="0.3">
      <c r="A544" s="2" t="s">
        <v>9</v>
      </c>
      <c r="B544" s="2" t="s">
        <v>50</v>
      </c>
      <c r="C544" s="2" t="s">
        <v>146</v>
      </c>
      <c r="D544" s="2" t="s">
        <v>131</v>
      </c>
      <c r="E544" s="2" t="s">
        <v>166</v>
      </c>
      <c r="F544" s="2">
        <v>2.5</v>
      </c>
      <c r="G544" s="2" t="str">
        <f>Table1_1[[#This Row],[Country Name]]&amp;"|"&amp;Table1_1[[#This Row],[Series Name]]&amp;"|"&amp;Table1_1[[#This Row],[Years]]</f>
        <v>Japan|Unemployment, total (% of total labor force) (modeled ILO estimate)|2024</v>
      </c>
    </row>
    <row r="545" spans="1:7" x14ac:dyDescent="0.3">
      <c r="A545" s="2" t="s">
        <v>9</v>
      </c>
      <c r="B545" s="2" t="s">
        <v>50</v>
      </c>
      <c r="C545" s="2" t="s">
        <v>146</v>
      </c>
      <c r="D545" s="2" t="s">
        <v>131</v>
      </c>
      <c r="E545" s="2" t="s">
        <v>167</v>
      </c>
      <c r="F545" s="2">
        <v>2.4510000000000001</v>
      </c>
      <c r="G545" s="2" t="str">
        <f>Table1_1[[#This Row],[Country Name]]&amp;"|"&amp;Table1_1[[#This Row],[Series Name]]&amp;"|"&amp;Table1_1[[#This Row],[Years]]</f>
        <v>Japan|Unemployment, total (% of total labor force) (modeled ILO estimate)|2025</v>
      </c>
    </row>
    <row r="546" spans="1:7" x14ac:dyDescent="0.3">
      <c r="A546" s="2" t="s">
        <v>9</v>
      </c>
      <c r="B546" s="2" t="s">
        <v>50</v>
      </c>
      <c r="C546" s="2" t="s">
        <v>34</v>
      </c>
      <c r="D546" s="2" t="s">
        <v>17</v>
      </c>
      <c r="E546" s="2" t="s">
        <v>152</v>
      </c>
      <c r="F546" s="2">
        <v>1.5983333333333329</v>
      </c>
      <c r="G546" s="2" t="str">
        <f>Table1_1[[#This Row],[Country Name]]&amp;"|"&amp;Table1_1[[#This Row],[Series Name]]&amp;"|"&amp;Table1_1[[#This Row],[Years]]</f>
        <v>Japan|Lending interest rate (%)|2010</v>
      </c>
    </row>
    <row r="547" spans="1:7" x14ac:dyDescent="0.3">
      <c r="A547" s="2" t="s">
        <v>9</v>
      </c>
      <c r="B547" s="2" t="s">
        <v>50</v>
      </c>
      <c r="C547" s="2" t="s">
        <v>34</v>
      </c>
      <c r="D547" s="2" t="s">
        <v>17</v>
      </c>
      <c r="E547" s="2" t="s">
        <v>153</v>
      </c>
      <c r="F547" s="2">
        <v>1.5009166666666669</v>
      </c>
      <c r="G547" s="2" t="str">
        <f>Table1_1[[#This Row],[Country Name]]&amp;"|"&amp;Table1_1[[#This Row],[Series Name]]&amp;"|"&amp;Table1_1[[#This Row],[Years]]</f>
        <v>Japan|Lending interest rate (%)|2011</v>
      </c>
    </row>
    <row r="548" spans="1:7" x14ac:dyDescent="0.3">
      <c r="A548" s="2" t="s">
        <v>9</v>
      </c>
      <c r="B548" s="2" t="s">
        <v>50</v>
      </c>
      <c r="C548" s="2" t="s">
        <v>34</v>
      </c>
      <c r="D548" s="2" t="s">
        <v>17</v>
      </c>
      <c r="E548" s="2" t="s">
        <v>154</v>
      </c>
      <c r="F548" s="2">
        <v>1.4075</v>
      </c>
      <c r="G548" s="2" t="str">
        <f>Table1_1[[#This Row],[Country Name]]&amp;"|"&amp;Table1_1[[#This Row],[Series Name]]&amp;"|"&amp;Table1_1[[#This Row],[Years]]</f>
        <v>Japan|Lending interest rate (%)|2012</v>
      </c>
    </row>
    <row r="549" spans="1:7" x14ac:dyDescent="0.3">
      <c r="A549" s="2" t="s">
        <v>9</v>
      </c>
      <c r="B549" s="2" t="s">
        <v>50</v>
      </c>
      <c r="C549" s="2" t="s">
        <v>34</v>
      </c>
      <c r="D549" s="2" t="s">
        <v>17</v>
      </c>
      <c r="E549" s="2" t="s">
        <v>155</v>
      </c>
      <c r="F549" s="2">
        <v>1.30375</v>
      </c>
      <c r="G549" s="2" t="str">
        <f>Table1_1[[#This Row],[Country Name]]&amp;"|"&amp;Table1_1[[#This Row],[Series Name]]&amp;"|"&amp;Table1_1[[#This Row],[Years]]</f>
        <v>Japan|Lending interest rate (%)|2013</v>
      </c>
    </row>
    <row r="550" spans="1:7" x14ac:dyDescent="0.3">
      <c r="A550" s="2" t="s">
        <v>9</v>
      </c>
      <c r="B550" s="2" t="s">
        <v>50</v>
      </c>
      <c r="C550" s="2" t="s">
        <v>34</v>
      </c>
      <c r="D550" s="2" t="s">
        <v>17</v>
      </c>
      <c r="E550" s="2" t="s">
        <v>156</v>
      </c>
      <c r="F550" s="2">
        <v>1.219166666666667</v>
      </c>
      <c r="G550" s="2" t="str">
        <f>Table1_1[[#This Row],[Country Name]]&amp;"|"&amp;Table1_1[[#This Row],[Series Name]]&amp;"|"&amp;Table1_1[[#This Row],[Years]]</f>
        <v>Japan|Lending interest rate (%)|2014</v>
      </c>
    </row>
    <row r="551" spans="1:7" x14ac:dyDescent="0.3">
      <c r="A551" s="2" t="s">
        <v>9</v>
      </c>
      <c r="B551" s="2" t="s">
        <v>50</v>
      </c>
      <c r="C551" s="2" t="s">
        <v>34</v>
      </c>
      <c r="D551" s="2" t="s">
        <v>17</v>
      </c>
      <c r="E551" s="2" t="s">
        <v>157</v>
      </c>
      <c r="F551" s="2">
        <v>1.1428333333333329</v>
      </c>
      <c r="G551" s="2" t="str">
        <f>Table1_1[[#This Row],[Country Name]]&amp;"|"&amp;Table1_1[[#This Row],[Series Name]]&amp;"|"&amp;Table1_1[[#This Row],[Years]]</f>
        <v>Japan|Lending interest rate (%)|2015</v>
      </c>
    </row>
    <row r="552" spans="1:7" x14ac:dyDescent="0.3">
      <c r="A552" s="2" t="s">
        <v>9</v>
      </c>
      <c r="B552" s="2" t="s">
        <v>50</v>
      </c>
      <c r="C552" s="2" t="s">
        <v>34</v>
      </c>
      <c r="D552" s="2" t="s">
        <v>17</v>
      </c>
      <c r="E552" s="2" t="s">
        <v>158</v>
      </c>
      <c r="F552" s="2">
        <v>1.0447500000000001</v>
      </c>
      <c r="G552" s="2" t="str">
        <f>Table1_1[[#This Row],[Country Name]]&amp;"|"&amp;Table1_1[[#This Row],[Series Name]]&amp;"|"&amp;Table1_1[[#This Row],[Years]]</f>
        <v>Japan|Lending interest rate (%)|2016</v>
      </c>
    </row>
    <row r="553" spans="1:7" x14ac:dyDescent="0.3">
      <c r="A553" s="2" t="s">
        <v>9</v>
      </c>
      <c r="B553" s="2" t="s">
        <v>50</v>
      </c>
      <c r="C553" s="2" t="s">
        <v>34</v>
      </c>
      <c r="D553" s="2" t="s">
        <v>17</v>
      </c>
      <c r="E553" s="2" t="s">
        <v>159</v>
      </c>
      <c r="F553" s="2">
        <v>0.99399999999999999</v>
      </c>
      <c r="G553" s="2" t="str">
        <f>Table1_1[[#This Row],[Country Name]]&amp;"|"&amp;Table1_1[[#This Row],[Series Name]]&amp;"|"&amp;Table1_1[[#This Row],[Years]]</f>
        <v>Japan|Lending interest rate (%)|2017</v>
      </c>
    </row>
    <row r="554" spans="1:7" x14ac:dyDescent="0.3">
      <c r="A554" s="2" t="s">
        <v>9</v>
      </c>
      <c r="B554" s="2" t="s">
        <v>50</v>
      </c>
      <c r="C554" s="2" t="s">
        <v>34</v>
      </c>
      <c r="D554" s="2" t="s">
        <v>17</v>
      </c>
      <c r="E554" s="2" t="s">
        <v>160</v>
      </c>
      <c r="G554" s="2" t="str">
        <f>Table1_1[[#This Row],[Country Name]]&amp;"|"&amp;Table1_1[[#This Row],[Series Name]]&amp;"|"&amp;Table1_1[[#This Row],[Years]]</f>
        <v>Japan|Lending interest rate (%)|2018</v>
      </c>
    </row>
    <row r="555" spans="1:7" x14ac:dyDescent="0.3">
      <c r="A555" s="2" t="s">
        <v>9</v>
      </c>
      <c r="B555" s="2" t="s">
        <v>50</v>
      </c>
      <c r="C555" s="2" t="s">
        <v>34</v>
      </c>
      <c r="D555" s="2" t="s">
        <v>17</v>
      </c>
      <c r="E555" s="2" t="s">
        <v>161</v>
      </c>
      <c r="G555" s="2" t="str">
        <f>Table1_1[[#This Row],[Country Name]]&amp;"|"&amp;Table1_1[[#This Row],[Series Name]]&amp;"|"&amp;Table1_1[[#This Row],[Years]]</f>
        <v>Japan|Lending interest rate (%)|2019</v>
      </c>
    </row>
    <row r="556" spans="1:7" x14ac:dyDescent="0.3">
      <c r="A556" s="2" t="s">
        <v>9</v>
      </c>
      <c r="B556" s="2" t="s">
        <v>50</v>
      </c>
      <c r="C556" s="2" t="s">
        <v>34</v>
      </c>
      <c r="D556" s="2" t="s">
        <v>17</v>
      </c>
      <c r="E556" s="2" t="s">
        <v>162</v>
      </c>
      <c r="G556" s="2" t="str">
        <f>Table1_1[[#This Row],[Country Name]]&amp;"|"&amp;Table1_1[[#This Row],[Series Name]]&amp;"|"&amp;Table1_1[[#This Row],[Years]]</f>
        <v>Japan|Lending interest rate (%)|2020</v>
      </c>
    </row>
    <row r="557" spans="1:7" x14ac:dyDescent="0.3">
      <c r="A557" s="2" t="s">
        <v>9</v>
      </c>
      <c r="B557" s="2" t="s">
        <v>50</v>
      </c>
      <c r="C557" s="2" t="s">
        <v>34</v>
      </c>
      <c r="D557" s="2" t="s">
        <v>17</v>
      </c>
      <c r="E557" s="2" t="s">
        <v>163</v>
      </c>
      <c r="G557" s="2" t="str">
        <f>Table1_1[[#This Row],[Country Name]]&amp;"|"&amp;Table1_1[[#This Row],[Series Name]]&amp;"|"&amp;Table1_1[[#This Row],[Years]]</f>
        <v>Japan|Lending interest rate (%)|2021</v>
      </c>
    </row>
    <row r="558" spans="1:7" x14ac:dyDescent="0.3">
      <c r="A558" s="2" t="s">
        <v>9</v>
      </c>
      <c r="B558" s="2" t="s">
        <v>50</v>
      </c>
      <c r="C558" s="2" t="s">
        <v>34</v>
      </c>
      <c r="D558" s="2" t="s">
        <v>17</v>
      </c>
      <c r="E558" s="2" t="s">
        <v>164</v>
      </c>
      <c r="G558" s="2" t="str">
        <f>Table1_1[[#This Row],[Country Name]]&amp;"|"&amp;Table1_1[[#This Row],[Series Name]]&amp;"|"&amp;Table1_1[[#This Row],[Years]]</f>
        <v>Japan|Lending interest rate (%)|2022</v>
      </c>
    </row>
    <row r="559" spans="1:7" x14ac:dyDescent="0.3">
      <c r="A559" s="2" t="s">
        <v>9</v>
      </c>
      <c r="B559" s="2" t="s">
        <v>50</v>
      </c>
      <c r="C559" s="2" t="s">
        <v>34</v>
      </c>
      <c r="D559" s="2" t="s">
        <v>17</v>
      </c>
      <c r="E559" s="2" t="s">
        <v>165</v>
      </c>
      <c r="G559" s="2" t="str">
        <f>Table1_1[[#This Row],[Country Name]]&amp;"|"&amp;Table1_1[[#This Row],[Series Name]]&amp;"|"&amp;Table1_1[[#This Row],[Years]]</f>
        <v>Japan|Lending interest rate (%)|2023</v>
      </c>
    </row>
    <row r="560" spans="1:7" x14ac:dyDescent="0.3">
      <c r="A560" s="2" t="s">
        <v>9</v>
      </c>
      <c r="B560" s="2" t="s">
        <v>50</v>
      </c>
      <c r="C560" s="2" t="s">
        <v>34</v>
      </c>
      <c r="D560" s="2" t="s">
        <v>17</v>
      </c>
      <c r="E560" s="2" t="s">
        <v>166</v>
      </c>
      <c r="G560" s="2" t="str">
        <f>Table1_1[[#This Row],[Country Name]]&amp;"|"&amp;Table1_1[[#This Row],[Series Name]]&amp;"|"&amp;Table1_1[[#This Row],[Years]]</f>
        <v>Japan|Lending interest rate (%)|2024</v>
      </c>
    </row>
    <row r="561" spans="1:7" x14ac:dyDescent="0.3">
      <c r="A561" s="2" t="s">
        <v>9</v>
      </c>
      <c r="B561" s="2" t="s">
        <v>50</v>
      </c>
      <c r="C561" s="2" t="s">
        <v>34</v>
      </c>
      <c r="D561" s="2" t="s">
        <v>17</v>
      </c>
      <c r="E561" s="2" t="s">
        <v>167</v>
      </c>
      <c r="G561" s="2" t="str">
        <f>Table1_1[[#This Row],[Country Name]]&amp;"|"&amp;Table1_1[[#This Row],[Series Name]]&amp;"|"&amp;Table1_1[[#This Row],[Years]]</f>
        <v>Japan|Lending interest rate (%)|2025</v>
      </c>
    </row>
    <row r="562" spans="1:7" x14ac:dyDescent="0.3">
      <c r="A562" s="2" t="s">
        <v>9</v>
      </c>
      <c r="B562" s="2" t="s">
        <v>50</v>
      </c>
      <c r="C562" s="2" t="s">
        <v>83</v>
      </c>
      <c r="D562" s="2" t="s">
        <v>72</v>
      </c>
      <c r="E562" s="2" t="s">
        <v>152</v>
      </c>
      <c r="F562" s="2">
        <v>87.779875000000004</v>
      </c>
      <c r="G562" s="2" t="str">
        <f>Table1_1[[#This Row],[Country Name]]&amp;"|"&amp;Table1_1[[#This Row],[Series Name]]&amp;"|"&amp;Table1_1[[#This Row],[Years]]</f>
        <v>Japan|Official exchange rate (LCU per US$, period average)|2010</v>
      </c>
    </row>
    <row r="563" spans="1:7" x14ac:dyDescent="0.3">
      <c r="A563" s="2" t="s">
        <v>9</v>
      </c>
      <c r="B563" s="2" t="s">
        <v>50</v>
      </c>
      <c r="C563" s="2" t="s">
        <v>83</v>
      </c>
      <c r="D563" s="2" t="s">
        <v>72</v>
      </c>
      <c r="E563" s="2" t="s">
        <v>153</v>
      </c>
      <c r="F563" s="2">
        <v>79.807019832189184</v>
      </c>
      <c r="G563" s="2" t="str">
        <f>Table1_1[[#This Row],[Country Name]]&amp;"|"&amp;Table1_1[[#This Row],[Series Name]]&amp;"|"&amp;Table1_1[[#This Row],[Years]]</f>
        <v>Japan|Official exchange rate (LCU per US$, period average)|2011</v>
      </c>
    </row>
    <row r="564" spans="1:7" x14ac:dyDescent="0.3">
      <c r="A564" s="2" t="s">
        <v>9</v>
      </c>
      <c r="B564" s="2" t="s">
        <v>50</v>
      </c>
      <c r="C564" s="2" t="s">
        <v>83</v>
      </c>
      <c r="D564" s="2" t="s">
        <v>72</v>
      </c>
      <c r="E564" s="2" t="s">
        <v>154</v>
      </c>
      <c r="F564" s="2">
        <v>79.790455417006498</v>
      </c>
      <c r="G564" s="2" t="str">
        <f>Table1_1[[#This Row],[Country Name]]&amp;"|"&amp;Table1_1[[#This Row],[Series Name]]&amp;"|"&amp;Table1_1[[#This Row],[Years]]</f>
        <v>Japan|Official exchange rate (LCU per US$, period average)|2012</v>
      </c>
    </row>
    <row r="565" spans="1:7" x14ac:dyDescent="0.3">
      <c r="A565" s="2" t="s">
        <v>9</v>
      </c>
      <c r="B565" s="2" t="s">
        <v>50</v>
      </c>
      <c r="C565" s="2" t="s">
        <v>83</v>
      </c>
      <c r="D565" s="2" t="s">
        <v>72</v>
      </c>
      <c r="E565" s="2" t="s">
        <v>155</v>
      </c>
      <c r="F565" s="2">
        <v>97.59565827763852</v>
      </c>
      <c r="G565" s="2" t="str">
        <f>Table1_1[[#This Row],[Country Name]]&amp;"|"&amp;Table1_1[[#This Row],[Series Name]]&amp;"|"&amp;Table1_1[[#This Row],[Years]]</f>
        <v>Japan|Official exchange rate (LCU per US$, period average)|2013</v>
      </c>
    </row>
    <row r="566" spans="1:7" x14ac:dyDescent="0.3">
      <c r="A566" s="2" t="s">
        <v>9</v>
      </c>
      <c r="B566" s="2" t="s">
        <v>50</v>
      </c>
      <c r="C566" s="2" t="s">
        <v>83</v>
      </c>
      <c r="D566" s="2" t="s">
        <v>72</v>
      </c>
      <c r="E566" s="2" t="s">
        <v>156</v>
      </c>
      <c r="F566" s="2">
        <v>105.9447810340245</v>
      </c>
      <c r="G566" s="2" t="str">
        <f>Table1_1[[#This Row],[Country Name]]&amp;"|"&amp;Table1_1[[#This Row],[Series Name]]&amp;"|"&amp;Table1_1[[#This Row],[Years]]</f>
        <v>Japan|Official exchange rate (LCU per US$, period average)|2014</v>
      </c>
    </row>
    <row r="567" spans="1:7" x14ac:dyDescent="0.3">
      <c r="A567" s="2" t="s">
        <v>9</v>
      </c>
      <c r="B567" s="2" t="s">
        <v>50</v>
      </c>
      <c r="C567" s="2" t="s">
        <v>83</v>
      </c>
      <c r="D567" s="2" t="s">
        <v>72</v>
      </c>
      <c r="E567" s="2" t="s">
        <v>157</v>
      </c>
      <c r="F567" s="2">
        <v>121.0440256840111</v>
      </c>
      <c r="G567" s="2" t="str">
        <f>Table1_1[[#This Row],[Country Name]]&amp;"|"&amp;Table1_1[[#This Row],[Series Name]]&amp;"|"&amp;Table1_1[[#This Row],[Years]]</f>
        <v>Japan|Official exchange rate (LCU per US$, period average)|2015</v>
      </c>
    </row>
    <row r="568" spans="1:7" x14ac:dyDescent="0.3">
      <c r="A568" s="2" t="s">
        <v>9</v>
      </c>
      <c r="B568" s="2" t="s">
        <v>50</v>
      </c>
      <c r="C568" s="2" t="s">
        <v>83</v>
      </c>
      <c r="D568" s="2" t="s">
        <v>72</v>
      </c>
      <c r="E568" s="2" t="s">
        <v>158</v>
      </c>
      <c r="F568" s="2">
        <v>108.79290004683421</v>
      </c>
      <c r="G568" s="2" t="str">
        <f>Table1_1[[#This Row],[Country Name]]&amp;"|"&amp;Table1_1[[#This Row],[Series Name]]&amp;"|"&amp;Table1_1[[#This Row],[Years]]</f>
        <v>Japan|Official exchange rate (LCU per US$, period average)|2016</v>
      </c>
    </row>
    <row r="569" spans="1:7" x14ac:dyDescent="0.3">
      <c r="A569" s="2" t="s">
        <v>9</v>
      </c>
      <c r="B569" s="2" t="s">
        <v>50</v>
      </c>
      <c r="C569" s="2" t="s">
        <v>83</v>
      </c>
      <c r="D569" s="2" t="s">
        <v>72</v>
      </c>
      <c r="E569" s="2" t="s">
        <v>159</v>
      </c>
      <c r="F569" s="2">
        <v>112.1661410818712</v>
      </c>
      <c r="G569" s="2" t="str">
        <f>Table1_1[[#This Row],[Country Name]]&amp;"|"&amp;Table1_1[[#This Row],[Series Name]]&amp;"|"&amp;Table1_1[[#This Row],[Years]]</f>
        <v>Japan|Official exchange rate (LCU per US$, period average)|2017</v>
      </c>
    </row>
    <row r="570" spans="1:7" x14ac:dyDescent="0.3">
      <c r="A570" s="2" t="s">
        <v>9</v>
      </c>
      <c r="B570" s="2" t="s">
        <v>50</v>
      </c>
      <c r="C570" s="2" t="s">
        <v>83</v>
      </c>
      <c r="D570" s="2" t="s">
        <v>72</v>
      </c>
      <c r="E570" s="2" t="s">
        <v>160</v>
      </c>
      <c r="F570" s="2">
        <v>110.42317934106021</v>
      </c>
      <c r="G570" s="2" t="str">
        <f>Table1_1[[#This Row],[Country Name]]&amp;"|"&amp;Table1_1[[#This Row],[Series Name]]&amp;"|"&amp;Table1_1[[#This Row],[Years]]</f>
        <v>Japan|Official exchange rate (LCU per US$, period average)|2018</v>
      </c>
    </row>
    <row r="571" spans="1:7" x14ac:dyDescent="0.3">
      <c r="A571" s="2" t="s">
        <v>9</v>
      </c>
      <c r="B571" s="2" t="s">
        <v>50</v>
      </c>
      <c r="C571" s="2" t="s">
        <v>83</v>
      </c>
      <c r="D571" s="2" t="s">
        <v>72</v>
      </c>
      <c r="E571" s="2" t="s">
        <v>161</v>
      </c>
      <c r="F571" s="2">
        <v>109.0096659008632</v>
      </c>
      <c r="G571" s="2" t="str">
        <f>Table1_1[[#This Row],[Country Name]]&amp;"|"&amp;Table1_1[[#This Row],[Series Name]]&amp;"|"&amp;Table1_1[[#This Row],[Years]]</f>
        <v>Japan|Official exchange rate (LCU per US$, period average)|2019</v>
      </c>
    </row>
    <row r="572" spans="1:7" x14ac:dyDescent="0.3">
      <c r="A572" s="2" t="s">
        <v>9</v>
      </c>
      <c r="B572" s="2" t="s">
        <v>50</v>
      </c>
      <c r="C572" s="2" t="s">
        <v>83</v>
      </c>
      <c r="D572" s="2" t="s">
        <v>72</v>
      </c>
      <c r="E572" s="2" t="s">
        <v>162</v>
      </c>
      <c r="F572" s="2">
        <v>106.77458226243721</v>
      </c>
      <c r="G572" s="2" t="str">
        <f>Table1_1[[#This Row],[Country Name]]&amp;"|"&amp;Table1_1[[#This Row],[Series Name]]&amp;"|"&amp;Table1_1[[#This Row],[Years]]</f>
        <v>Japan|Official exchange rate (LCU per US$, period average)|2020</v>
      </c>
    </row>
    <row r="573" spans="1:7" x14ac:dyDescent="0.3">
      <c r="A573" s="2" t="s">
        <v>9</v>
      </c>
      <c r="B573" s="2" t="s">
        <v>50</v>
      </c>
      <c r="C573" s="2" t="s">
        <v>83</v>
      </c>
      <c r="D573" s="2" t="s">
        <v>72</v>
      </c>
      <c r="E573" s="2" t="s">
        <v>163</v>
      </c>
      <c r="F573" s="2">
        <v>109.7543238394172</v>
      </c>
      <c r="G573" s="2" t="str">
        <f>Table1_1[[#This Row],[Country Name]]&amp;"|"&amp;Table1_1[[#This Row],[Series Name]]&amp;"|"&amp;Table1_1[[#This Row],[Years]]</f>
        <v>Japan|Official exchange rate (LCU per US$, period average)|2021</v>
      </c>
    </row>
    <row r="574" spans="1:7" x14ac:dyDescent="0.3">
      <c r="A574" s="2" t="s">
        <v>9</v>
      </c>
      <c r="B574" s="2" t="s">
        <v>50</v>
      </c>
      <c r="C574" s="2" t="s">
        <v>83</v>
      </c>
      <c r="D574" s="2" t="s">
        <v>72</v>
      </c>
      <c r="E574" s="2" t="s">
        <v>164</v>
      </c>
      <c r="F574" s="2">
        <v>131.4981404437639</v>
      </c>
      <c r="G574" s="2" t="str">
        <f>Table1_1[[#This Row],[Country Name]]&amp;"|"&amp;Table1_1[[#This Row],[Series Name]]&amp;"|"&amp;Table1_1[[#This Row],[Years]]</f>
        <v>Japan|Official exchange rate (LCU per US$, period average)|2022</v>
      </c>
    </row>
    <row r="575" spans="1:7" x14ac:dyDescent="0.3">
      <c r="A575" s="2" t="s">
        <v>9</v>
      </c>
      <c r="B575" s="2" t="s">
        <v>50</v>
      </c>
      <c r="C575" s="2" t="s">
        <v>83</v>
      </c>
      <c r="D575" s="2" t="s">
        <v>72</v>
      </c>
      <c r="E575" s="2" t="s">
        <v>165</v>
      </c>
      <c r="F575" s="2">
        <v>140.49110006234019</v>
      </c>
      <c r="G575" s="2" t="str">
        <f>Table1_1[[#This Row],[Country Name]]&amp;"|"&amp;Table1_1[[#This Row],[Series Name]]&amp;"|"&amp;Table1_1[[#This Row],[Years]]</f>
        <v>Japan|Official exchange rate (LCU per US$, period average)|2023</v>
      </c>
    </row>
    <row r="576" spans="1:7" x14ac:dyDescent="0.3">
      <c r="A576" s="2" t="s">
        <v>9</v>
      </c>
      <c r="B576" s="2" t="s">
        <v>50</v>
      </c>
      <c r="C576" s="2" t="s">
        <v>83</v>
      </c>
      <c r="D576" s="2" t="s">
        <v>72</v>
      </c>
      <c r="E576" s="2" t="s">
        <v>166</v>
      </c>
      <c r="F576" s="2">
        <v>151.36629130275179</v>
      </c>
      <c r="G576" s="2" t="str">
        <f>Table1_1[[#This Row],[Country Name]]&amp;"|"&amp;Table1_1[[#This Row],[Series Name]]&amp;"|"&amp;Table1_1[[#This Row],[Years]]</f>
        <v>Japan|Official exchange rate (LCU per US$, period average)|2024</v>
      </c>
    </row>
    <row r="577" spans="1:7" x14ac:dyDescent="0.3">
      <c r="A577" s="2" t="s">
        <v>9</v>
      </c>
      <c r="B577" s="2" t="s">
        <v>50</v>
      </c>
      <c r="C577" s="2" t="s">
        <v>83</v>
      </c>
      <c r="D577" s="2" t="s">
        <v>72</v>
      </c>
      <c r="E577" s="2" t="s">
        <v>167</v>
      </c>
      <c r="F577" s="2">
        <v>149.65792689095181</v>
      </c>
      <c r="G577" s="2" t="str">
        <f>Table1_1[[#This Row],[Country Name]]&amp;"|"&amp;Table1_1[[#This Row],[Series Name]]&amp;"|"&amp;Table1_1[[#This Row],[Years]]</f>
        <v>Japan|Official exchange rate (LCU per US$, period average)|2025</v>
      </c>
    </row>
    <row r="578" spans="1:7" x14ac:dyDescent="0.3">
      <c r="A578" s="2" t="s">
        <v>9</v>
      </c>
      <c r="B578" s="2" t="s">
        <v>50</v>
      </c>
      <c r="C578" s="2" t="s">
        <v>70</v>
      </c>
      <c r="D578" s="2" t="s">
        <v>147</v>
      </c>
      <c r="E578" s="2" t="s">
        <v>152</v>
      </c>
      <c r="F578" s="2">
        <v>14.78273790154695</v>
      </c>
      <c r="G578" s="2" t="str">
        <f>Table1_1[[#This Row],[Country Name]]&amp;"|"&amp;Table1_1[[#This Row],[Series Name]]&amp;"|"&amp;Table1_1[[#This Row],[Years]]</f>
        <v>Japan|Exports of goods and services (% of GDP)|2010</v>
      </c>
    </row>
    <row r="579" spans="1:7" x14ac:dyDescent="0.3">
      <c r="A579" s="2" t="s">
        <v>9</v>
      </c>
      <c r="B579" s="2" t="s">
        <v>50</v>
      </c>
      <c r="C579" s="2" t="s">
        <v>70</v>
      </c>
      <c r="D579" s="2" t="s">
        <v>147</v>
      </c>
      <c r="E579" s="2" t="s">
        <v>153</v>
      </c>
      <c r="F579" s="2">
        <v>14.664526222108703</v>
      </c>
      <c r="G579" s="2" t="str">
        <f>Table1_1[[#This Row],[Country Name]]&amp;"|"&amp;Table1_1[[#This Row],[Series Name]]&amp;"|"&amp;Table1_1[[#This Row],[Years]]</f>
        <v>Japan|Exports of goods and services (% of GDP)|2011</v>
      </c>
    </row>
    <row r="580" spans="1:7" x14ac:dyDescent="0.3">
      <c r="A580" s="2" t="s">
        <v>9</v>
      </c>
      <c r="B580" s="2" t="s">
        <v>50</v>
      </c>
      <c r="C580" s="2" t="s">
        <v>70</v>
      </c>
      <c r="D580" s="2" t="s">
        <v>147</v>
      </c>
      <c r="E580" s="2" t="s">
        <v>154</v>
      </c>
      <c r="F580" s="2">
        <v>14.273915458377518</v>
      </c>
      <c r="G580" s="2" t="str">
        <f>Table1_1[[#This Row],[Country Name]]&amp;"|"&amp;Table1_1[[#This Row],[Series Name]]&amp;"|"&amp;Table1_1[[#This Row],[Years]]</f>
        <v>Japan|Exports of goods and services (% of GDP)|2012</v>
      </c>
    </row>
    <row r="581" spans="1:7" x14ac:dyDescent="0.3">
      <c r="A581" s="2" t="s">
        <v>9</v>
      </c>
      <c r="B581" s="2" t="s">
        <v>50</v>
      </c>
      <c r="C581" s="2" t="s">
        <v>70</v>
      </c>
      <c r="D581" s="2" t="s">
        <v>147</v>
      </c>
      <c r="E581" s="2" t="s">
        <v>155</v>
      </c>
      <c r="F581" s="2">
        <v>15.603709081255529</v>
      </c>
      <c r="G581" s="2" t="str">
        <f>Table1_1[[#This Row],[Country Name]]&amp;"|"&amp;Table1_1[[#This Row],[Series Name]]&amp;"|"&amp;Table1_1[[#This Row],[Years]]</f>
        <v>Japan|Exports of goods and services (% of GDP)|2013</v>
      </c>
    </row>
    <row r="582" spans="1:7" x14ac:dyDescent="0.3">
      <c r="A582" s="2" t="s">
        <v>9</v>
      </c>
      <c r="B582" s="2" t="s">
        <v>50</v>
      </c>
      <c r="C582" s="2" t="s">
        <v>70</v>
      </c>
      <c r="D582" s="2" t="s">
        <v>147</v>
      </c>
      <c r="E582" s="2" t="s">
        <v>156</v>
      </c>
      <c r="F582" s="2">
        <v>17.107862774215679</v>
      </c>
      <c r="G582" s="2" t="str">
        <f>Table1_1[[#This Row],[Country Name]]&amp;"|"&amp;Table1_1[[#This Row],[Series Name]]&amp;"|"&amp;Table1_1[[#This Row],[Years]]</f>
        <v>Japan|Exports of goods and services (% of GDP)|2014</v>
      </c>
    </row>
    <row r="583" spans="1:7" x14ac:dyDescent="0.3">
      <c r="A583" s="2" t="s">
        <v>9</v>
      </c>
      <c r="B583" s="2" t="s">
        <v>50</v>
      </c>
      <c r="C583" s="2" t="s">
        <v>70</v>
      </c>
      <c r="D583" s="2" t="s">
        <v>147</v>
      </c>
      <c r="E583" s="2" t="s">
        <v>157</v>
      </c>
      <c r="F583" s="2">
        <v>17.092109978615937</v>
      </c>
      <c r="G583" s="2" t="str">
        <f>Table1_1[[#This Row],[Country Name]]&amp;"|"&amp;Table1_1[[#This Row],[Series Name]]&amp;"|"&amp;Table1_1[[#This Row],[Years]]</f>
        <v>Japan|Exports of goods and services (% of GDP)|2015</v>
      </c>
    </row>
    <row r="584" spans="1:7" x14ac:dyDescent="0.3">
      <c r="A584" s="2" t="s">
        <v>9</v>
      </c>
      <c r="B584" s="2" t="s">
        <v>50</v>
      </c>
      <c r="C584" s="2" t="s">
        <v>70</v>
      </c>
      <c r="D584" s="2" t="s">
        <v>147</v>
      </c>
      <c r="E584" s="2" t="s">
        <v>158</v>
      </c>
      <c r="F584" s="2">
        <v>15.722396112312415</v>
      </c>
      <c r="G584" s="2" t="str">
        <f>Table1_1[[#This Row],[Country Name]]&amp;"|"&amp;Table1_1[[#This Row],[Series Name]]&amp;"|"&amp;Table1_1[[#This Row],[Years]]</f>
        <v>Japan|Exports of goods and services (% of GDP)|2016</v>
      </c>
    </row>
    <row r="585" spans="1:7" x14ac:dyDescent="0.3">
      <c r="A585" s="2" t="s">
        <v>9</v>
      </c>
      <c r="B585" s="2" t="s">
        <v>50</v>
      </c>
      <c r="C585" s="2" t="s">
        <v>70</v>
      </c>
      <c r="D585" s="2" t="s">
        <v>147</v>
      </c>
      <c r="E585" s="2" t="s">
        <v>159</v>
      </c>
      <c r="F585" s="2">
        <v>17.215825339441782</v>
      </c>
      <c r="G585" s="2" t="str">
        <f>Table1_1[[#This Row],[Country Name]]&amp;"|"&amp;Table1_1[[#This Row],[Series Name]]&amp;"|"&amp;Table1_1[[#This Row],[Years]]</f>
        <v>Japan|Exports of goods and services (% of GDP)|2017</v>
      </c>
    </row>
    <row r="586" spans="1:7" x14ac:dyDescent="0.3">
      <c r="A586" s="2" t="s">
        <v>9</v>
      </c>
      <c r="B586" s="2" t="s">
        <v>50</v>
      </c>
      <c r="C586" s="2" t="s">
        <v>70</v>
      </c>
      <c r="D586" s="2" t="s">
        <v>147</v>
      </c>
      <c r="E586" s="2" t="s">
        <v>160</v>
      </c>
      <c r="F586" s="2">
        <v>17.91114347886818</v>
      </c>
      <c r="G586" s="2" t="str">
        <f>Table1_1[[#This Row],[Country Name]]&amp;"|"&amp;Table1_1[[#This Row],[Series Name]]&amp;"|"&amp;Table1_1[[#This Row],[Years]]</f>
        <v>Japan|Exports of goods and services (% of GDP)|2018</v>
      </c>
    </row>
    <row r="587" spans="1:7" x14ac:dyDescent="0.3">
      <c r="A587" s="2" t="s">
        <v>9</v>
      </c>
      <c r="B587" s="2" t="s">
        <v>50</v>
      </c>
      <c r="C587" s="2" t="s">
        <v>70</v>
      </c>
      <c r="D587" s="2" t="s">
        <v>147</v>
      </c>
      <c r="E587" s="2" t="s">
        <v>161</v>
      </c>
      <c r="F587" s="2">
        <v>17.037797418149893</v>
      </c>
      <c r="G587" s="2" t="str">
        <f>Table1_1[[#This Row],[Country Name]]&amp;"|"&amp;Table1_1[[#This Row],[Series Name]]&amp;"|"&amp;Table1_1[[#This Row],[Years]]</f>
        <v>Japan|Exports of goods and services (% of GDP)|2019</v>
      </c>
    </row>
    <row r="588" spans="1:7" x14ac:dyDescent="0.3">
      <c r="A588" s="2" t="s">
        <v>9</v>
      </c>
      <c r="B588" s="2" t="s">
        <v>50</v>
      </c>
      <c r="C588" s="2" t="s">
        <v>70</v>
      </c>
      <c r="D588" s="2" t="s">
        <v>147</v>
      </c>
      <c r="E588" s="2" t="s">
        <v>162</v>
      </c>
      <c r="F588" s="2">
        <v>15.128690298631376</v>
      </c>
      <c r="G588" s="2" t="str">
        <f>Table1_1[[#This Row],[Country Name]]&amp;"|"&amp;Table1_1[[#This Row],[Series Name]]&amp;"|"&amp;Table1_1[[#This Row],[Years]]</f>
        <v>Japan|Exports of goods and services (% of GDP)|2020</v>
      </c>
    </row>
    <row r="589" spans="1:7" x14ac:dyDescent="0.3">
      <c r="A589" s="2" t="s">
        <v>9</v>
      </c>
      <c r="B589" s="2" t="s">
        <v>50</v>
      </c>
      <c r="C589" s="2" t="s">
        <v>70</v>
      </c>
      <c r="D589" s="2" t="s">
        <v>147</v>
      </c>
      <c r="E589" s="2" t="s">
        <v>163</v>
      </c>
      <c r="F589" s="2">
        <v>17.461985379957905</v>
      </c>
      <c r="G589" s="2" t="str">
        <f>Table1_1[[#This Row],[Country Name]]&amp;"|"&amp;Table1_1[[#This Row],[Series Name]]&amp;"|"&amp;Table1_1[[#This Row],[Years]]</f>
        <v>Japan|Exports of goods and services (% of GDP)|2021</v>
      </c>
    </row>
    <row r="590" spans="1:7" x14ac:dyDescent="0.3">
      <c r="A590" s="2" t="s">
        <v>9</v>
      </c>
      <c r="B590" s="2" t="s">
        <v>50</v>
      </c>
      <c r="C590" s="2" t="s">
        <v>70</v>
      </c>
      <c r="D590" s="2" t="s">
        <v>147</v>
      </c>
      <c r="E590" s="2" t="s">
        <v>164</v>
      </c>
      <c r="F590" s="2">
        <v>20.647867347032982</v>
      </c>
      <c r="G590" s="2" t="str">
        <f>Table1_1[[#This Row],[Country Name]]&amp;"|"&amp;Table1_1[[#This Row],[Series Name]]&amp;"|"&amp;Table1_1[[#This Row],[Years]]</f>
        <v>Japan|Exports of goods and services (% of GDP)|2022</v>
      </c>
    </row>
    <row r="591" spans="1:7" x14ac:dyDescent="0.3">
      <c r="A591" s="2" t="s">
        <v>9</v>
      </c>
      <c r="B591" s="2" t="s">
        <v>50</v>
      </c>
      <c r="C591" s="2" t="s">
        <v>70</v>
      </c>
      <c r="D591" s="2" t="s">
        <v>147</v>
      </c>
      <c r="E591" s="2" t="s">
        <v>165</v>
      </c>
      <c r="F591" s="2">
        <v>21.059310134359684</v>
      </c>
      <c r="G591" s="2" t="str">
        <f>Table1_1[[#This Row],[Country Name]]&amp;"|"&amp;Table1_1[[#This Row],[Series Name]]&amp;"|"&amp;Table1_1[[#This Row],[Years]]</f>
        <v>Japan|Exports of goods and services (% of GDP)|2023</v>
      </c>
    </row>
    <row r="592" spans="1:7" x14ac:dyDescent="0.3">
      <c r="A592" s="2" t="s">
        <v>9</v>
      </c>
      <c r="B592" s="2" t="s">
        <v>50</v>
      </c>
      <c r="C592" s="2" t="s">
        <v>70</v>
      </c>
      <c r="D592" s="2" t="s">
        <v>147</v>
      </c>
      <c r="E592" s="2" t="s">
        <v>166</v>
      </c>
      <c r="F592" s="2">
        <v>21.97990936984608</v>
      </c>
      <c r="G592" s="2" t="str">
        <f>Table1_1[[#This Row],[Country Name]]&amp;"|"&amp;Table1_1[[#This Row],[Series Name]]&amp;"|"&amp;Table1_1[[#This Row],[Years]]</f>
        <v>Japan|Exports of goods and services (% of GDP)|2024</v>
      </c>
    </row>
    <row r="593" spans="1:7" x14ac:dyDescent="0.3">
      <c r="A593" s="2" t="s">
        <v>9</v>
      </c>
      <c r="B593" s="2" t="s">
        <v>50</v>
      </c>
      <c r="C593" s="2" t="s">
        <v>70</v>
      </c>
      <c r="D593" s="2" t="s">
        <v>147</v>
      </c>
      <c r="E593" s="2" t="s">
        <v>167</v>
      </c>
      <c r="G593" s="2" t="str">
        <f>Table1_1[[#This Row],[Country Name]]&amp;"|"&amp;Table1_1[[#This Row],[Series Name]]&amp;"|"&amp;Table1_1[[#This Row],[Years]]</f>
        <v>Japan|Exports of goods and services (% of GDP)|2025</v>
      </c>
    </row>
    <row r="594" spans="1:7" x14ac:dyDescent="0.3">
      <c r="A594" s="2" t="s">
        <v>9</v>
      </c>
      <c r="B594" s="2" t="s">
        <v>50</v>
      </c>
      <c r="C594" s="2" t="s">
        <v>56</v>
      </c>
      <c r="D594" s="2" t="s">
        <v>14</v>
      </c>
      <c r="E594" s="2" t="s">
        <v>152</v>
      </c>
      <c r="F594" s="2">
        <v>13.45727718451969</v>
      </c>
      <c r="G594" s="2" t="str">
        <f>Table1_1[[#This Row],[Country Name]]&amp;"|"&amp;Table1_1[[#This Row],[Series Name]]&amp;"|"&amp;Table1_1[[#This Row],[Years]]</f>
        <v>Japan|Imports of goods and services (% of GDP)|2010</v>
      </c>
    </row>
    <row r="595" spans="1:7" x14ac:dyDescent="0.3">
      <c r="A595" s="2" t="s">
        <v>9</v>
      </c>
      <c r="B595" s="2" t="s">
        <v>50</v>
      </c>
      <c r="C595" s="2" t="s">
        <v>56</v>
      </c>
      <c r="D595" s="2" t="s">
        <v>14</v>
      </c>
      <c r="E595" s="2" t="s">
        <v>153</v>
      </c>
      <c r="F595" s="2">
        <v>15.30685913373854</v>
      </c>
      <c r="G595" s="2" t="str">
        <f>Table1_1[[#This Row],[Country Name]]&amp;"|"&amp;Table1_1[[#This Row],[Series Name]]&amp;"|"&amp;Table1_1[[#This Row],[Years]]</f>
        <v>Japan|Imports of goods and services (% of GDP)|2011</v>
      </c>
    </row>
    <row r="596" spans="1:7" x14ac:dyDescent="0.3">
      <c r="A596" s="2" t="s">
        <v>9</v>
      </c>
      <c r="B596" s="2" t="s">
        <v>50</v>
      </c>
      <c r="C596" s="2" t="s">
        <v>56</v>
      </c>
      <c r="D596" s="2" t="s">
        <v>14</v>
      </c>
      <c r="E596" s="2" t="s">
        <v>154</v>
      </c>
      <c r="F596" s="2">
        <v>15.900384089425501</v>
      </c>
      <c r="G596" s="2" t="str">
        <f>Table1_1[[#This Row],[Country Name]]&amp;"|"&amp;Table1_1[[#This Row],[Series Name]]&amp;"|"&amp;Table1_1[[#This Row],[Years]]</f>
        <v>Japan|Imports of goods and services (% of GDP)|2012</v>
      </c>
    </row>
    <row r="597" spans="1:7" x14ac:dyDescent="0.3">
      <c r="A597" s="2" t="s">
        <v>9</v>
      </c>
      <c r="B597" s="2" t="s">
        <v>50</v>
      </c>
      <c r="C597" s="2" t="s">
        <v>56</v>
      </c>
      <c r="D597" s="2" t="s">
        <v>14</v>
      </c>
      <c r="E597" s="2" t="s">
        <v>155</v>
      </c>
      <c r="F597" s="2">
        <v>17.987660364825178</v>
      </c>
      <c r="G597" s="2" t="str">
        <f>Table1_1[[#This Row],[Country Name]]&amp;"|"&amp;Table1_1[[#This Row],[Series Name]]&amp;"|"&amp;Table1_1[[#This Row],[Years]]</f>
        <v>Japan|Imports of goods and services (% of GDP)|2013</v>
      </c>
    </row>
    <row r="598" spans="1:7" x14ac:dyDescent="0.3">
      <c r="A598" s="2" t="s">
        <v>9</v>
      </c>
      <c r="B598" s="2" t="s">
        <v>50</v>
      </c>
      <c r="C598" s="2" t="s">
        <v>56</v>
      </c>
      <c r="D598" s="2" t="s">
        <v>14</v>
      </c>
      <c r="E598" s="2" t="s">
        <v>156</v>
      </c>
      <c r="F598" s="2">
        <v>19.656462247612527</v>
      </c>
      <c r="G598" s="2" t="str">
        <f>Table1_1[[#This Row],[Country Name]]&amp;"|"&amp;Table1_1[[#This Row],[Series Name]]&amp;"|"&amp;Table1_1[[#This Row],[Years]]</f>
        <v>Japan|Imports of goods and services (% of GDP)|2014</v>
      </c>
    </row>
    <row r="599" spans="1:7" x14ac:dyDescent="0.3">
      <c r="A599" s="2" t="s">
        <v>9</v>
      </c>
      <c r="B599" s="2" t="s">
        <v>50</v>
      </c>
      <c r="C599" s="2" t="s">
        <v>56</v>
      </c>
      <c r="D599" s="2" t="s">
        <v>14</v>
      </c>
      <c r="E599" s="2" t="s">
        <v>157</v>
      </c>
      <c r="F599" s="2">
        <v>17.635520610013327</v>
      </c>
      <c r="G599" s="2" t="str">
        <f>Table1_1[[#This Row],[Country Name]]&amp;"|"&amp;Table1_1[[#This Row],[Series Name]]&amp;"|"&amp;Table1_1[[#This Row],[Years]]</f>
        <v>Japan|Imports of goods and services (% of GDP)|2015</v>
      </c>
    </row>
    <row r="600" spans="1:7" x14ac:dyDescent="0.3">
      <c r="A600" s="2" t="s">
        <v>9</v>
      </c>
      <c r="B600" s="2" t="s">
        <v>50</v>
      </c>
      <c r="C600" s="2" t="s">
        <v>56</v>
      </c>
      <c r="D600" s="2" t="s">
        <v>14</v>
      </c>
      <c r="E600" s="2" t="s">
        <v>158</v>
      </c>
      <c r="F600" s="2">
        <v>14.933883194543021</v>
      </c>
      <c r="G600" s="2" t="str">
        <f>Table1_1[[#This Row],[Country Name]]&amp;"|"&amp;Table1_1[[#This Row],[Series Name]]&amp;"|"&amp;Table1_1[[#This Row],[Years]]</f>
        <v>Japan|Imports of goods and services (% of GDP)|2016</v>
      </c>
    </row>
    <row r="601" spans="1:7" x14ac:dyDescent="0.3">
      <c r="A601" s="2" t="s">
        <v>9</v>
      </c>
      <c r="B601" s="2" t="s">
        <v>50</v>
      </c>
      <c r="C601" s="2" t="s">
        <v>56</v>
      </c>
      <c r="D601" s="2" t="s">
        <v>14</v>
      </c>
      <c r="E601" s="2" t="s">
        <v>159</v>
      </c>
      <c r="F601" s="2">
        <v>16.47300833983639</v>
      </c>
      <c r="G601" s="2" t="str">
        <f>Table1_1[[#This Row],[Country Name]]&amp;"|"&amp;Table1_1[[#This Row],[Series Name]]&amp;"|"&amp;Table1_1[[#This Row],[Years]]</f>
        <v>Japan|Imports of goods and services (% of GDP)|2017</v>
      </c>
    </row>
    <row r="602" spans="1:7" x14ac:dyDescent="0.3">
      <c r="A602" s="2" t="s">
        <v>9</v>
      </c>
      <c r="B602" s="2" t="s">
        <v>50</v>
      </c>
      <c r="C602" s="2" t="s">
        <v>56</v>
      </c>
      <c r="D602" s="2" t="s">
        <v>14</v>
      </c>
      <c r="E602" s="2" t="s">
        <v>160</v>
      </c>
      <c r="F602" s="2">
        <v>17.892431479381223</v>
      </c>
      <c r="G602" s="2" t="str">
        <f>Table1_1[[#This Row],[Country Name]]&amp;"|"&amp;Table1_1[[#This Row],[Series Name]]&amp;"|"&amp;Table1_1[[#This Row],[Years]]</f>
        <v>Japan|Imports of goods and services (% of GDP)|2018</v>
      </c>
    </row>
    <row r="603" spans="1:7" x14ac:dyDescent="0.3">
      <c r="A603" s="2" t="s">
        <v>9</v>
      </c>
      <c r="B603" s="2" t="s">
        <v>50</v>
      </c>
      <c r="C603" s="2" t="s">
        <v>56</v>
      </c>
      <c r="D603" s="2" t="s">
        <v>14</v>
      </c>
      <c r="E603" s="2" t="s">
        <v>161</v>
      </c>
      <c r="F603" s="2">
        <v>17.320499861848983</v>
      </c>
      <c r="G603" s="2" t="str">
        <f>Table1_1[[#This Row],[Country Name]]&amp;"|"&amp;Table1_1[[#This Row],[Series Name]]&amp;"|"&amp;Table1_1[[#This Row],[Years]]</f>
        <v>Japan|Imports of goods and services (% of GDP)|2019</v>
      </c>
    </row>
    <row r="604" spans="1:7" x14ac:dyDescent="0.3">
      <c r="A604" s="2" t="s">
        <v>9</v>
      </c>
      <c r="B604" s="2" t="s">
        <v>50</v>
      </c>
      <c r="C604" s="2" t="s">
        <v>56</v>
      </c>
      <c r="D604" s="2" t="s">
        <v>14</v>
      </c>
      <c r="E604" s="2" t="s">
        <v>162</v>
      </c>
      <c r="F604" s="2">
        <v>15.39053239059592</v>
      </c>
      <c r="G604" s="2" t="str">
        <f>Table1_1[[#This Row],[Country Name]]&amp;"|"&amp;Table1_1[[#This Row],[Series Name]]&amp;"|"&amp;Table1_1[[#This Row],[Years]]</f>
        <v>Japan|Imports of goods and services (% of GDP)|2020</v>
      </c>
    </row>
    <row r="605" spans="1:7" x14ac:dyDescent="0.3">
      <c r="A605" s="2" t="s">
        <v>9</v>
      </c>
      <c r="B605" s="2" t="s">
        <v>50</v>
      </c>
      <c r="C605" s="2" t="s">
        <v>56</v>
      </c>
      <c r="D605" s="2" t="s">
        <v>14</v>
      </c>
      <c r="E605" s="2" t="s">
        <v>163</v>
      </c>
      <c r="F605" s="2">
        <v>17.96340735409597</v>
      </c>
      <c r="G605" s="2" t="str">
        <f>Table1_1[[#This Row],[Country Name]]&amp;"|"&amp;Table1_1[[#This Row],[Series Name]]&amp;"|"&amp;Table1_1[[#This Row],[Years]]</f>
        <v>Japan|Imports of goods and services (% of GDP)|2021</v>
      </c>
    </row>
    <row r="606" spans="1:7" x14ac:dyDescent="0.3">
      <c r="A606" s="2" t="s">
        <v>9</v>
      </c>
      <c r="B606" s="2" t="s">
        <v>50</v>
      </c>
      <c r="C606" s="2" t="s">
        <v>56</v>
      </c>
      <c r="D606" s="2" t="s">
        <v>14</v>
      </c>
      <c r="E606" s="2" t="s">
        <v>164</v>
      </c>
      <c r="F606" s="2">
        <v>24.212763673007004</v>
      </c>
      <c r="G606" s="2" t="str">
        <f>Table1_1[[#This Row],[Country Name]]&amp;"|"&amp;Table1_1[[#This Row],[Series Name]]&amp;"|"&amp;Table1_1[[#This Row],[Years]]</f>
        <v>Japan|Imports of goods and services (% of GDP)|2022</v>
      </c>
    </row>
    <row r="607" spans="1:7" x14ac:dyDescent="0.3">
      <c r="A607" s="2" t="s">
        <v>9</v>
      </c>
      <c r="B607" s="2" t="s">
        <v>50</v>
      </c>
      <c r="C607" s="2" t="s">
        <v>56</v>
      </c>
      <c r="D607" s="2" t="s">
        <v>14</v>
      </c>
      <c r="E607" s="2" t="s">
        <v>165</v>
      </c>
      <c r="F607" s="2">
        <v>22.535773245913774</v>
      </c>
      <c r="G607" s="2" t="str">
        <f>Table1_1[[#This Row],[Country Name]]&amp;"|"&amp;Table1_1[[#This Row],[Series Name]]&amp;"|"&amp;Table1_1[[#This Row],[Years]]</f>
        <v>Japan|Imports of goods and services (% of GDP)|2023</v>
      </c>
    </row>
    <row r="608" spans="1:7" x14ac:dyDescent="0.3">
      <c r="A608" s="2" t="s">
        <v>9</v>
      </c>
      <c r="B608" s="2" t="s">
        <v>50</v>
      </c>
      <c r="C608" s="2" t="s">
        <v>56</v>
      </c>
      <c r="D608" s="2" t="s">
        <v>14</v>
      </c>
      <c r="E608" s="2" t="s">
        <v>166</v>
      </c>
      <c r="F608" s="2">
        <v>22.87302948791125</v>
      </c>
      <c r="G608" s="2" t="str">
        <f>Table1_1[[#This Row],[Country Name]]&amp;"|"&amp;Table1_1[[#This Row],[Series Name]]&amp;"|"&amp;Table1_1[[#This Row],[Years]]</f>
        <v>Japan|Imports of goods and services (% of GDP)|2024</v>
      </c>
    </row>
    <row r="609" spans="1:7" x14ac:dyDescent="0.3">
      <c r="A609" s="2" t="s">
        <v>9</v>
      </c>
      <c r="B609" s="2" t="s">
        <v>50</v>
      </c>
      <c r="C609" s="2" t="s">
        <v>56</v>
      </c>
      <c r="D609" s="2" t="s">
        <v>14</v>
      </c>
      <c r="E609" s="2" t="s">
        <v>167</v>
      </c>
      <c r="G609" s="2" t="str">
        <f>Table1_1[[#This Row],[Country Name]]&amp;"|"&amp;Table1_1[[#This Row],[Series Name]]&amp;"|"&amp;Table1_1[[#This Row],[Years]]</f>
        <v>Japan|Imports of goods and services (% of GDP)|2025</v>
      </c>
    </row>
    <row r="610" spans="1:7" x14ac:dyDescent="0.3">
      <c r="A610" s="2" t="s">
        <v>9</v>
      </c>
      <c r="B610" s="2" t="s">
        <v>50</v>
      </c>
      <c r="C610" s="2" t="s">
        <v>13</v>
      </c>
      <c r="D610" s="2" t="s">
        <v>123</v>
      </c>
      <c r="E610" s="2" t="s">
        <v>152</v>
      </c>
      <c r="F610" s="2">
        <v>7440979284.1628504</v>
      </c>
      <c r="G610" s="2" t="str">
        <f>Table1_1[[#This Row],[Country Name]]&amp;"|"&amp;Table1_1[[#This Row],[Series Name]]&amp;"|"&amp;Table1_1[[#This Row],[Years]]</f>
        <v>Japan|Foreign direct investment, net inflows (BoP, current US$)|2010</v>
      </c>
    </row>
    <row r="611" spans="1:7" x14ac:dyDescent="0.3">
      <c r="A611" s="2" t="s">
        <v>9</v>
      </c>
      <c r="B611" s="2" t="s">
        <v>50</v>
      </c>
      <c r="C611" s="2" t="s">
        <v>13</v>
      </c>
      <c r="D611" s="2" t="s">
        <v>123</v>
      </c>
      <c r="E611" s="2" t="s">
        <v>153</v>
      </c>
      <c r="F611" s="2">
        <v>-850717035.06823802</v>
      </c>
      <c r="G611" s="2" t="str">
        <f>Table1_1[[#This Row],[Country Name]]&amp;"|"&amp;Table1_1[[#This Row],[Series Name]]&amp;"|"&amp;Table1_1[[#This Row],[Years]]</f>
        <v>Japan|Foreign direct investment, net inflows (BoP, current US$)|2011</v>
      </c>
    </row>
    <row r="612" spans="1:7" x14ac:dyDescent="0.3">
      <c r="A612" s="2" t="s">
        <v>9</v>
      </c>
      <c r="B612" s="2" t="s">
        <v>50</v>
      </c>
      <c r="C612" s="2" t="s">
        <v>13</v>
      </c>
      <c r="D612" s="2" t="s">
        <v>123</v>
      </c>
      <c r="E612" s="2" t="s">
        <v>154</v>
      </c>
      <c r="F612" s="2">
        <v>546962692.19072497</v>
      </c>
      <c r="G612" s="2" t="str">
        <f>Table1_1[[#This Row],[Country Name]]&amp;"|"&amp;Table1_1[[#This Row],[Series Name]]&amp;"|"&amp;Table1_1[[#This Row],[Years]]</f>
        <v>Japan|Foreign direct investment, net inflows (BoP, current US$)|2012</v>
      </c>
    </row>
    <row r="613" spans="1:7" x14ac:dyDescent="0.3">
      <c r="A613" s="2" t="s">
        <v>9</v>
      </c>
      <c r="B613" s="2" t="s">
        <v>50</v>
      </c>
      <c r="C613" s="2" t="s">
        <v>13</v>
      </c>
      <c r="D613" s="2" t="s">
        <v>123</v>
      </c>
      <c r="E613" s="2" t="s">
        <v>155</v>
      </c>
      <c r="F613" s="2">
        <v>10648441636.2071</v>
      </c>
      <c r="G613" s="2" t="str">
        <f>Table1_1[[#This Row],[Country Name]]&amp;"|"&amp;Table1_1[[#This Row],[Series Name]]&amp;"|"&amp;Table1_1[[#This Row],[Years]]</f>
        <v>Japan|Foreign direct investment, net inflows (BoP, current US$)|2013</v>
      </c>
    </row>
    <row r="614" spans="1:7" x14ac:dyDescent="0.3">
      <c r="A614" s="2" t="s">
        <v>9</v>
      </c>
      <c r="B614" s="2" t="s">
        <v>50</v>
      </c>
      <c r="C614" s="2" t="s">
        <v>13</v>
      </c>
      <c r="D614" s="2" t="s">
        <v>123</v>
      </c>
      <c r="E614" s="2" t="s">
        <v>156</v>
      </c>
      <c r="F614" s="2">
        <v>19752249424.087002</v>
      </c>
      <c r="G614" s="2" t="str">
        <f>Table1_1[[#This Row],[Country Name]]&amp;"|"&amp;Table1_1[[#This Row],[Series Name]]&amp;"|"&amp;Table1_1[[#This Row],[Years]]</f>
        <v>Japan|Foreign direct investment, net inflows (BoP, current US$)|2014</v>
      </c>
    </row>
    <row r="615" spans="1:7" x14ac:dyDescent="0.3">
      <c r="A615" s="2" t="s">
        <v>9</v>
      </c>
      <c r="B615" s="2" t="s">
        <v>50</v>
      </c>
      <c r="C615" s="2" t="s">
        <v>13</v>
      </c>
      <c r="D615" s="2" t="s">
        <v>123</v>
      </c>
      <c r="E615" s="2" t="s">
        <v>157</v>
      </c>
      <c r="F615" s="2">
        <v>5252218412.3917103</v>
      </c>
      <c r="G615" s="2" t="str">
        <f>Table1_1[[#This Row],[Country Name]]&amp;"|"&amp;Table1_1[[#This Row],[Series Name]]&amp;"|"&amp;Table1_1[[#This Row],[Years]]</f>
        <v>Japan|Foreign direct investment, net inflows (BoP, current US$)|2015</v>
      </c>
    </row>
    <row r="616" spans="1:7" x14ac:dyDescent="0.3">
      <c r="A616" s="2" t="s">
        <v>9</v>
      </c>
      <c r="B616" s="2" t="s">
        <v>50</v>
      </c>
      <c r="C616" s="2" t="s">
        <v>13</v>
      </c>
      <c r="D616" s="2" t="s">
        <v>123</v>
      </c>
      <c r="E616" s="2" t="s">
        <v>158</v>
      </c>
      <c r="F616" s="2">
        <v>40954181468.553299</v>
      </c>
      <c r="G616" s="2" t="str">
        <f>Table1_1[[#This Row],[Country Name]]&amp;"|"&amp;Table1_1[[#This Row],[Series Name]]&amp;"|"&amp;Table1_1[[#This Row],[Years]]</f>
        <v>Japan|Foreign direct investment, net inflows (BoP, current US$)|2016</v>
      </c>
    </row>
    <row r="617" spans="1:7" x14ac:dyDescent="0.3">
      <c r="A617" s="2" t="s">
        <v>9</v>
      </c>
      <c r="B617" s="2" t="s">
        <v>50</v>
      </c>
      <c r="C617" s="2" t="s">
        <v>13</v>
      </c>
      <c r="D617" s="2" t="s">
        <v>123</v>
      </c>
      <c r="E617" s="2" t="s">
        <v>159</v>
      </c>
      <c r="F617" s="2">
        <v>18802251208.1068</v>
      </c>
      <c r="G617" s="2" t="str">
        <f>Table1_1[[#This Row],[Country Name]]&amp;"|"&amp;Table1_1[[#This Row],[Series Name]]&amp;"|"&amp;Table1_1[[#This Row],[Years]]</f>
        <v>Japan|Foreign direct investment, net inflows (BoP, current US$)|2017</v>
      </c>
    </row>
    <row r="618" spans="1:7" x14ac:dyDescent="0.3">
      <c r="A618" s="2" t="s">
        <v>9</v>
      </c>
      <c r="B618" s="2" t="s">
        <v>50</v>
      </c>
      <c r="C618" s="2" t="s">
        <v>13</v>
      </c>
      <c r="D618" s="2" t="s">
        <v>123</v>
      </c>
      <c r="E618" s="2" t="s">
        <v>160</v>
      </c>
      <c r="F618" s="2">
        <v>25289367857.851799</v>
      </c>
      <c r="G618" s="2" t="str">
        <f>Table1_1[[#This Row],[Country Name]]&amp;"|"&amp;Table1_1[[#This Row],[Series Name]]&amp;"|"&amp;Table1_1[[#This Row],[Years]]</f>
        <v>Japan|Foreign direct investment, net inflows (BoP, current US$)|2018</v>
      </c>
    </row>
    <row r="619" spans="1:7" x14ac:dyDescent="0.3">
      <c r="A619" s="2" t="s">
        <v>9</v>
      </c>
      <c r="B619" s="2" t="s">
        <v>50</v>
      </c>
      <c r="C619" s="2" t="s">
        <v>13</v>
      </c>
      <c r="D619" s="2" t="s">
        <v>123</v>
      </c>
      <c r="E619" s="2" t="s">
        <v>161</v>
      </c>
      <c r="F619" s="2">
        <v>39960544340.014099</v>
      </c>
      <c r="G619" s="2" t="str">
        <f>Table1_1[[#This Row],[Country Name]]&amp;"|"&amp;Table1_1[[#This Row],[Series Name]]&amp;"|"&amp;Table1_1[[#This Row],[Years]]</f>
        <v>Japan|Foreign direct investment, net inflows (BoP, current US$)|2019</v>
      </c>
    </row>
    <row r="620" spans="1:7" x14ac:dyDescent="0.3">
      <c r="A620" s="2" t="s">
        <v>9</v>
      </c>
      <c r="B620" s="2" t="s">
        <v>50</v>
      </c>
      <c r="C620" s="2" t="s">
        <v>13</v>
      </c>
      <c r="D620" s="2" t="s">
        <v>123</v>
      </c>
      <c r="E620" s="2" t="s">
        <v>162</v>
      </c>
      <c r="F620" s="2">
        <v>62584719398.091202</v>
      </c>
      <c r="G620" s="2" t="str">
        <f>Table1_1[[#This Row],[Country Name]]&amp;"|"&amp;Table1_1[[#This Row],[Series Name]]&amp;"|"&amp;Table1_1[[#This Row],[Years]]</f>
        <v>Japan|Foreign direct investment, net inflows (BoP, current US$)|2020</v>
      </c>
    </row>
    <row r="621" spans="1:7" x14ac:dyDescent="0.3">
      <c r="A621" s="2" t="s">
        <v>9</v>
      </c>
      <c r="B621" s="2" t="s">
        <v>50</v>
      </c>
      <c r="C621" s="2" t="s">
        <v>13</v>
      </c>
      <c r="D621" s="2" t="s">
        <v>123</v>
      </c>
      <c r="E621" s="2" t="s">
        <v>163</v>
      </c>
      <c r="F621" s="2">
        <v>35027163875.721298</v>
      </c>
      <c r="G621" s="2" t="str">
        <f>Table1_1[[#This Row],[Country Name]]&amp;"|"&amp;Table1_1[[#This Row],[Series Name]]&amp;"|"&amp;Table1_1[[#This Row],[Years]]</f>
        <v>Japan|Foreign direct investment, net inflows (BoP, current US$)|2021</v>
      </c>
    </row>
    <row r="622" spans="1:7" x14ac:dyDescent="0.3">
      <c r="A622" s="2" t="s">
        <v>9</v>
      </c>
      <c r="B622" s="2" t="s">
        <v>50</v>
      </c>
      <c r="C622" s="2" t="s">
        <v>13</v>
      </c>
      <c r="D622" s="2" t="s">
        <v>123</v>
      </c>
      <c r="E622" s="2" t="s">
        <v>164</v>
      </c>
      <c r="F622" s="2">
        <v>48153832744.058601</v>
      </c>
      <c r="G622" s="2" t="str">
        <f>Table1_1[[#This Row],[Country Name]]&amp;"|"&amp;Table1_1[[#This Row],[Series Name]]&amp;"|"&amp;Table1_1[[#This Row],[Years]]</f>
        <v>Japan|Foreign direct investment, net inflows (BoP, current US$)|2022</v>
      </c>
    </row>
    <row r="623" spans="1:7" x14ac:dyDescent="0.3">
      <c r="A623" s="2" t="s">
        <v>9</v>
      </c>
      <c r="B623" s="2" t="s">
        <v>50</v>
      </c>
      <c r="C623" s="2" t="s">
        <v>13</v>
      </c>
      <c r="D623" s="2" t="s">
        <v>123</v>
      </c>
      <c r="E623" s="2" t="s">
        <v>165</v>
      </c>
      <c r="F623" s="2">
        <v>20007989122.904202</v>
      </c>
      <c r="G623" s="2" t="str">
        <f>Table1_1[[#This Row],[Country Name]]&amp;"|"&amp;Table1_1[[#This Row],[Series Name]]&amp;"|"&amp;Table1_1[[#This Row],[Years]]</f>
        <v>Japan|Foreign direct investment, net inflows (BoP, current US$)|2023</v>
      </c>
    </row>
    <row r="624" spans="1:7" x14ac:dyDescent="0.3">
      <c r="A624" s="2" t="s">
        <v>9</v>
      </c>
      <c r="B624" s="2" t="s">
        <v>50</v>
      </c>
      <c r="C624" s="2" t="s">
        <v>13</v>
      </c>
      <c r="D624" s="2" t="s">
        <v>123</v>
      </c>
      <c r="E624" s="2" t="s">
        <v>166</v>
      </c>
      <c r="F624" s="2">
        <v>18874093729.400799</v>
      </c>
      <c r="G624" s="2" t="str">
        <f>Table1_1[[#This Row],[Country Name]]&amp;"|"&amp;Table1_1[[#This Row],[Series Name]]&amp;"|"&amp;Table1_1[[#This Row],[Years]]</f>
        <v>Japan|Foreign direct investment, net inflows (BoP, current US$)|2024</v>
      </c>
    </row>
    <row r="625" spans="1:7" x14ac:dyDescent="0.3">
      <c r="A625" s="2" t="s">
        <v>9</v>
      </c>
      <c r="B625" s="2" t="s">
        <v>50</v>
      </c>
      <c r="C625" s="2" t="s">
        <v>13</v>
      </c>
      <c r="D625" s="2" t="s">
        <v>123</v>
      </c>
      <c r="E625" s="2" t="s">
        <v>167</v>
      </c>
      <c r="F625" s="2">
        <v>45805721094.508202</v>
      </c>
      <c r="G625" s="2" t="str">
        <f>Table1_1[[#This Row],[Country Name]]&amp;"|"&amp;Table1_1[[#This Row],[Series Name]]&amp;"|"&amp;Table1_1[[#This Row],[Years]]</f>
        <v>Japan|Foreign direct investment, net inflows (BoP, current US$)|2025</v>
      </c>
    </row>
    <row r="626" spans="1:7" x14ac:dyDescent="0.3">
      <c r="A626" s="2" t="s">
        <v>9</v>
      </c>
      <c r="B626" s="2" t="s">
        <v>50</v>
      </c>
      <c r="C626" s="2" t="s">
        <v>107</v>
      </c>
      <c r="D626" s="2" t="s">
        <v>106</v>
      </c>
      <c r="E626" s="2" t="s">
        <v>152</v>
      </c>
      <c r="F626" s="2">
        <v>128070000</v>
      </c>
      <c r="G626" s="2" t="str">
        <f>Table1_1[[#This Row],[Country Name]]&amp;"|"&amp;Table1_1[[#This Row],[Series Name]]&amp;"|"&amp;Table1_1[[#This Row],[Years]]</f>
        <v>Japan|Population, total|2010</v>
      </c>
    </row>
    <row r="627" spans="1:7" x14ac:dyDescent="0.3">
      <c r="A627" s="2" t="s">
        <v>9</v>
      </c>
      <c r="B627" s="2" t="s">
        <v>50</v>
      </c>
      <c r="C627" s="2" t="s">
        <v>107</v>
      </c>
      <c r="D627" s="2" t="s">
        <v>106</v>
      </c>
      <c r="E627" s="2" t="s">
        <v>153</v>
      </c>
      <c r="F627" s="2">
        <v>127833000</v>
      </c>
      <c r="G627" s="2" t="str">
        <f>Table1_1[[#This Row],[Country Name]]&amp;"|"&amp;Table1_1[[#This Row],[Series Name]]&amp;"|"&amp;Table1_1[[#This Row],[Years]]</f>
        <v>Japan|Population, total|2011</v>
      </c>
    </row>
    <row r="628" spans="1:7" x14ac:dyDescent="0.3">
      <c r="A628" s="2" t="s">
        <v>9</v>
      </c>
      <c r="B628" s="2" t="s">
        <v>50</v>
      </c>
      <c r="C628" s="2" t="s">
        <v>107</v>
      </c>
      <c r="D628" s="2" t="s">
        <v>106</v>
      </c>
      <c r="E628" s="2" t="s">
        <v>154</v>
      </c>
      <c r="F628" s="2">
        <v>127629000</v>
      </c>
      <c r="G628" s="2" t="str">
        <f>Table1_1[[#This Row],[Country Name]]&amp;"|"&amp;Table1_1[[#This Row],[Series Name]]&amp;"|"&amp;Table1_1[[#This Row],[Years]]</f>
        <v>Japan|Population, total|2012</v>
      </c>
    </row>
    <row r="629" spans="1:7" x14ac:dyDescent="0.3">
      <c r="A629" s="2" t="s">
        <v>9</v>
      </c>
      <c r="B629" s="2" t="s">
        <v>50</v>
      </c>
      <c r="C629" s="2" t="s">
        <v>107</v>
      </c>
      <c r="D629" s="2" t="s">
        <v>106</v>
      </c>
      <c r="E629" s="2" t="s">
        <v>155</v>
      </c>
      <c r="F629" s="2">
        <v>127445000</v>
      </c>
      <c r="G629" s="2" t="str">
        <f>Table1_1[[#This Row],[Country Name]]&amp;"|"&amp;Table1_1[[#This Row],[Series Name]]&amp;"|"&amp;Table1_1[[#This Row],[Years]]</f>
        <v>Japan|Population, total|2013</v>
      </c>
    </row>
    <row r="630" spans="1:7" x14ac:dyDescent="0.3">
      <c r="A630" s="2" t="s">
        <v>9</v>
      </c>
      <c r="B630" s="2" t="s">
        <v>50</v>
      </c>
      <c r="C630" s="2" t="s">
        <v>107</v>
      </c>
      <c r="D630" s="2" t="s">
        <v>106</v>
      </c>
      <c r="E630" s="2" t="s">
        <v>156</v>
      </c>
      <c r="F630" s="2">
        <v>127276000</v>
      </c>
      <c r="G630" s="2" t="str">
        <f>Table1_1[[#This Row],[Country Name]]&amp;"|"&amp;Table1_1[[#This Row],[Series Name]]&amp;"|"&amp;Table1_1[[#This Row],[Years]]</f>
        <v>Japan|Population, total|2014</v>
      </c>
    </row>
    <row r="631" spans="1:7" x14ac:dyDescent="0.3">
      <c r="A631" s="2" t="s">
        <v>9</v>
      </c>
      <c r="B631" s="2" t="s">
        <v>50</v>
      </c>
      <c r="C631" s="2" t="s">
        <v>107</v>
      </c>
      <c r="D631" s="2" t="s">
        <v>106</v>
      </c>
      <c r="E631" s="2" t="s">
        <v>157</v>
      </c>
      <c r="F631" s="2">
        <v>127141000</v>
      </c>
      <c r="G631" s="2" t="str">
        <f>Table1_1[[#This Row],[Country Name]]&amp;"|"&amp;Table1_1[[#This Row],[Series Name]]&amp;"|"&amp;Table1_1[[#This Row],[Years]]</f>
        <v>Japan|Population, total|2015</v>
      </c>
    </row>
    <row r="632" spans="1:7" x14ac:dyDescent="0.3">
      <c r="A632" s="2" t="s">
        <v>9</v>
      </c>
      <c r="B632" s="2" t="s">
        <v>50</v>
      </c>
      <c r="C632" s="2" t="s">
        <v>107</v>
      </c>
      <c r="D632" s="2" t="s">
        <v>106</v>
      </c>
      <c r="E632" s="2" t="s">
        <v>158</v>
      </c>
      <c r="F632" s="2">
        <v>127076000</v>
      </c>
      <c r="G632" s="2" t="str">
        <f>Table1_1[[#This Row],[Country Name]]&amp;"|"&amp;Table1_1[[#This Row],[Series Name]]&amp;"|"&amp;Table1_1[[#This Row],[Years]]</f>
        <v>Japan|Population, total|2016</v>
      </c>
    </row>
    <row r="633" spans="1:7" x14ac:dyDescent="0.3">
      <c r="A633" s="2" t="s">
        <v>9</v>
      </c>
      <c r="B633" s="2" t="s">
        <v>50</v>
      </c>
      <c r="C633" s="2" t="s">
        <v>107</v>
      </c>
      <c r="D633" s="2" t="s">
        <v>106</v>
      </c>
      <c r="E633" s="2" t="s">
        <v>159</v>
      </c>
      <c r="F633" s="2">
        <v>126972000</v>
      </c>
      <c r="G633" s="2" t="str">
        <f>Table1_1[[#This Row],[Country Name]]&amp;"|"&amp;Table1_1[[#This Row],[Series Name]]&amp;"|"&amp;Table1_1[[#This Row],[Years]]</f>
        <v>Japan|Population, total|2017</v>
      </c>
    </row>
    <row r="634" spans="1:7" x14ac:dyDescent="0.3">
      <c r="A634" s="2" t="s">
        <v>9</v>
      </c>
      <c r="B634" s="2" t="s">
        <v>50</v>
      </c>
      <c r="C634" s="2" t="s">
        <v>107</v>
      </c>
      <c r="D634" s="2" t="s">
        <v>106</v>
      </c>
      <c r="E634" s="2" t="s">
        <v>160</v>
      </c>
      <c r="F634" s="2">
        <v>126811000</v>
      </c>
      <c r="G634" s="2" t="str">
        <f>Table1_1[[#This Row],[Country Name]]&amp;"|"&amp;Table1_1[[#This Row],[Series Name]]&amp;"|"&amp;Table1_1[[#This Row],[Years]]</f>
        <v>Japan|Population, total|2018</v>
      </c>
    </row>
    <row r="635" spans="1:7" x14ac:dyDescent="0.3">
      <c r="A635" s="2" t="s">
        <v>9</v>
      </c>
      <c r="B635" s="2" t="s">
        <v>50</v>
      </c>
      <c r="C635" s="2" t="s">
        <v>107</v>
      </c>
      <c r="D635" s="2" t="s">
        <v>106</v>
      </c>
      <c r="E635" s="2" t="s">
        <v>161</v>
      </c>
      <c r="F635" s="2">
        <v>126633000</v>
      </c>
      <c r="G635" s="2" t="str">
        <f>Table1_1[[#This Row],[Country Name]]&amp;"|"&amp;Table1_1[[#This Row],[Series Name]]&amp;"|"&amp;Table1_1[[#This Row],[Years]]</f>
        <v>Japan|Population, total|2019</v>
      </c>
    </row>
    <row r="636" spans="1:7" x14ac:dyDescent="0.3">
      <c r="A636" s="2" t="s">
        <v>9</v>
      </c>
      <c r="B636" s="2" t="s">
        <v>50</v>
      </c>
      <c r="C636" s="2" t="s">
        <v>107</v>
      </c>
      <c r="D636" s="2" t="s">
        <v>106</v>
      </c>
      <c r="E636" s="2" t="s">
        <v>162</v>
      </c>
      <c r="F636" s="2">
        <v>126261000</v>
      </c>
      <c r="G636" s="2" t="str">
        <f>Table1_1[[#This Row],[Country Name]]&amp;"|"&amp;Table1_1[[#This Row],[Series Name]]&amp;"|"&amp;Table1_1[[#This Row],[Years]]</f>
        <v>Japan|Population, total|2020</v>
      </c>
    </row>
    <row r="637" spans="1:7" x14ac:dyDescent="0.3">
      <c r="A637" s="2" t="s">
        <v>9</v>
      </c>
      <c r="B637" s="2" t="s">
        <v>50</v>
      </c>
      <c r="C637" s="2" t="s">
        <v>107</v>
      </c>
      <c r="D637" s="2" t="s">
        <v>106</v>
      </c>
      <c r="E637" s="2" t="s">
        <v>163</v>
      </c>
      <c r="F637" s="2">
        <v>125681593</v>
      </c>
      <c r="G637" s="2" t="str">
        <f>Table1_1[[#This Row],[Country Name]]&amp;"|"&amp;Table1_1[[#This Row],[Series Name]]&amp;"|"&amp;Table1_1[[#This Row],[Years]]</f>
        <v>Japan|Population, total|2021</v>
      </c>
    </row>
    <row r="638" spans="1:7" x14ac:dyDescent="0.3">
      <c r="A638" s="2" t="s">
        <v>9</v>
      </c>
      <c r="B638" s="2" t="s">
        <v>50</v>
      </c>
      <c r="C638" s="2" t="s">
        <v>107</v>
      </c>
      <c r="D638" s="2" t="s">
        <v>106</v>
      </c>
      <c r="E638" s="2" t="s">
        <v>164</v>
      </c>
      <c r="F638" s="2">
        <v>125124989</v>
      </c>
      <c r="G638" s="2" t="str">
        <f>Table1_1[[#This Row],[Country Name]]&amp;"|"&amp;Table1_1[[#This Row],[Series Name]]&amp;"|"&amp;Table1_1[[#This Row],[Years]]</f>
        <v>Japan|Population, total|2022</v>
      </c>
    </row>
    <row r="639" spans="1:7" x14ac:dyDescent="0.3">
      <c r="A639" s="2" t="s">
        <v>9</v>
      </c>
      <c r="B639" s="2" t="s">
        <v>50</v>
      </c>
      <c r="C639" s="2" t="s">
        <v>107</v>
      </c>
      <c r="D639" s="2" t="s">
        <v>106</v>
      </c>
      <c r="E639" s="2" t="s">
        <v>165</v>
      </c>
      <c r="F639" s="2">
        <v>124516650</v>
      </c>
      <c r="G639" s="2" t="str">
        <f>Table1_1[[#This Row],[Country Name]]&amp;"|"&amp;Table1_1[[#This Row],[Series Name]]&amp;"|"&amp;Table1_1[[#This Row],[Years]]</f>
        <v>Japan|Population, total|2023</v>
      </c>
    </row>
    <row r="640" spans="1:7" x14ac:dyDescent="0.3">
      <c r="A640" s="2" t="s">
        <v>9</v>
      </c>
      <c r="B640" s="2" t="s">
        <v>50</v>
      </c>
      <c r="C640" s="2" t="s">
        <v>107</v>
      </c>
      <c r="D640" s="2" t="s">
        <v>106</v>
      </c>
      <c r="E640" s="2" t="s">
        <v>166</v>
      </c>
      <c r="F640" s="2">
        <v>123975371</v>
      </c>
      <c r="G640" s="2" t="str">
        <f>Table1_1[[#This Row],[Country Name]]&amp;"|"&amp;Table1_1[[#This Row],[Series Name]]&amp;"|"&amp;Table1_1[[#This Row],[Years]]</f>
        <v>Japan|Population, total|2024</v>
      </c>
    </row>
    <row r="641" spans="1:7" x14ac:dyDescent="0.3">
      <c r="A641" s="2" t="s">
        <v>9</v>
      </c>
      <c r="B641" s="2" t="s">
        <v>50</v>
      </c>
      <c r="C641" s="2" t="s">
        <v>107</v>
      </c>
      <c r="D641" s="2" t="s">
        <v>106</v>
      </c>
      <c r="E641" s="2" t="s">
        <v>167</v>
      </c>
      <c r="F641" s="2">
        <v>123366734</v>
      </c>
      <c r="G641" s="2" t="str">
        <f>Table1_1[[#This Row],[Country Name]]&amp;"|"&amp;Table1_1[[#This Row],[Series Name]]&amp;"|"&amp;Table1_1[[#This Row],[Years]]</f>
        <v>Japan|Population, total|2025</v>
      </c>
    </row>
    <row r="642" spans="1:7" x14ac:dyDescent="0.3">
      <c r="A642" s="2" t="s">
        <v>102</v>
      </c>
      <c r="B642" s="2" t="s">
        <v>143</v>
      </c>
      <c r="C642" s="2" t="s">
        <v>25</v>
      </c>
      <c r="D642" s="2" t="s">
        <v>89</v>
      </c>
      <c r="E642" s="2" t="s">
        <v>152</v>
      </c>
      <c r="F642" s="2">
        <v>755094157621.93555</v>
      </c>
      <c r="G642" s="2" t="str">
        <f>Table1_1[[#This Row],[Country Name]]&amp;"|"&amp;Table1_1[[#This Row],[Series Name]]&amp;"|"&amp;Table1_1[[#This Row],[Years]]</f>
        <v>Indonesia|GDP (current US$)|2010</v>
      </c>
    </row>
    <row r="643" spans="1:7" x14ac:dyDescent="0.3">
      <c r="A643" s="2" t="s">
        <v>102</v>
      </c>
      <c r="B643" s="2" t="s">
        <v>143</v>
      </c>
      <c r="C643" s="2" t="s">
        <v>25</v>
      </c>
      <c r="D643" s="2" t="s">
        <v>89</v>
      </c>
      <c r="E643" s="2" t="s">
        <v>153</v>
      </c>
      <c r="F643" s="2">
        <v>892969104563.17126</v>
      </c>
      <c r="G643" s="2" t="str">
        <f>Table1_1[[#This Row],[Country Name]]&amp;"|"&amp;Table1_1[[#This Row],[Series Name]]&amp;"|"&amp;Table1_1[[#This Row],[Years]]</f>
        <v>Indonesia|GDP (current US$)|2011</v>
      </c>
    </row>
    <row r="644" spans="1:7" x14ac:dyDescent="0.3">
      <c r="A644" s="2" t="s">
        <v>102</v>
      </c>
      <c r="B644" s="2" t="s">
        <v>143</v>
      </c>
      <c r="C644" s="2" t="s">
        <v>25</v>
      </c>
      <c r="D644" s="2" t="s">
        <v>89</v>
      </c>
      <c r="E644" s="2" t="s">
        <v>154</v>
      </c>
      <c r="F644" s="2">
        <v>917869913332.64856</v>
      </c>
      <c r="G644" s="2" t="str">
        <f>Table1_1[[#This Row],[Country Name]]&amp;"|"&amp;Table1_1[[#This Row],[Series Name]]&amp;"|"&amp;Table1_1[[#This Row],[Years]]</f>
        <v>Indonesia|GDP (current US$)|2012</v>
      </c>
    </row>
    <row r="645" spans="1:7" x14ac:dyDescent="0.3">
      <c r="A645" s="2" t="s">
        <v>102</v>
      </c>
      <c r="B645" s="2" t="s">
        <v>143</v>
      </c>
      <c r="C645" s="2" t="s">
        <v>25</v>
      </c>
      <c r="D645" s="2" t="s">
        <v>89</v>
      </c>
      <c r="E645" s="2" t="s">
        <v>155</v>
      </c>
      <c r="F645" s="2">
        <v>912524136718.01819</v>
      </c>
      <c r="G645" s="2" t="str">
        <f>Table1_1[[#This Row],[Country Name]]&amp;"|"&amp;Table1_1[[#This Row],[Series Name]]&amp;"|"&amp;Table1_1[[#This Row],[Years]]</f>
        <v>Indonesia|GDP (current US$)|2013</v>
      </c>
    </row>
    <row r="646" spans="1:7" x14ac:dyDescent="0.3">
      <c r="A646" s="2" t="s">
        <v>102</v>
      </c>
      <c r="B646" s="2" t="s">
        <v>143</v>
      </c>
      <c r="C646" s="2" t="s">
        <v>25</v>
      </c>
      <c r="D646" s="2" t="s">
        <v>89</v>
      </c>
      <c r="E646" s="2" t="s">
        <v>156</v>
      </c>
      <c r="F646" s="2">
        <v>890814755533.53687</v>
      </c>
      <c r="G646" s="2" t="str">
        <f>Table1_1[[#This Row],[Country Name]]&amp;"|"&amp;Table1_1[[#This Row],[Series Name]]&amp;"|"&amp;Table1_1[[#This Row],[Years]]</f>
        <v>Indonesia|GDP (current US$)|2014</v>
      </c>
    </row>
    <row r="647" spans="1:7" x14ac:dyDescent="0.3">
      <c r="A647" s="2" t="s">
        <v>102</v>
      </c>
      <c r="B647" s="2" t="s">
        <v>143</v>
      </c>
      <c r="C647" s="2" t="s">
        <v>25</v>
      </c>
      <c r="D647" s="2" t="s">
        <v>89</v>
      </c>
      <c r="E647" s="2" t="s">
        <v>157</v>
      </c>
      <c r="F647" s="2">
        <v>860854232686.21387</v>
      </c>
      <c r="G647" s="2" t="str">
        <f>Table1_1[[#This Row],[Country Name]]&amp;"|"&amp;Table1_1[[#This Row],[Series Name]]&amp;"|"&amp;Table1_1[[#This Row],[Years]]</f>
        <v>Indonesia|GDP (current US$)|2015</v>
      </c>
    </row>
    <row r="648" spans="1:7" x14ac:dyDescent="0.3">
      <c r="A648" s="2" t="s">
        <v>102</v>
      </c>
      <c r="B648" s="2" t="s">
        <v>143</v>
      </c>
      <c r="C648" s="2" t="s">
        <v>25</v>
      </c>
      <c r="D648" s="2" t="s">
        <v>89</v>
      </c>
      <c r="E648" s="2" t="s">
        <v>158</v>
      </c>
      <c r="F648" s="2">
        <v>931877364037.69751</v>
      </c>
      <c r="G648" s="2" t="str">
        <f>Table1_1[[#This Row],[Country Name]]&amp;"|"&amp;Table1_1[[#This Row],[Series Name]]&amp;"|"&amp;Table1_1[[#This Row],[Years]]</f>
        <v>Indonesia|GDP (current US$)|2016</v>
      </c>
    </row>
    <row r="649" spans="1:7" x14ac:dyDescent="0.3">
      <c r="A649" s="2" t="s">
        <v>102</v>
      </c>
      <c r="B649" s="2" t="s">
        <v>143</v>
      </c>
      <c r="C649" s="2" t="s">
        <v>25</v>
      </c>
      <c r="D649" s="2" t="s">
        <v>89</v>
      </c>
      <c r="E649" s="2" t="s">
        <v>159</v>
      </c>
      <c r="F649" s="2">
        <v>1015618744159.7339</v>
      </c>
      <c r="G649" s="2" t="str">
        <f>Table1_1[[#This Row],[Country Name]]&amp;"|"&amp;Table1_1[[#This Row],[Series Name]]&amp;"|"&amp;Table1_1[[#This Row],[Years]]</f>
        <v>Indonesia|GDP (current US$)|2017</v>
      </c>
    </row>
    <row r="650" spans="1:7" x14ac:dyDescent="0.3">
      <c r="A650" s="2" t="s">
        <v>102</v>
      </c>
      <c r="B650" s="2" t="s">
        <v>143</v>
      </c>
      <c r="C650" s="2" t="s">
        <v>25</v>
      </c>
      <c r="D650" s="2" t="s">
        <v>89</v>
      </c>
      <c r="E650" s="2" t="s">
        <v>160</v>
      </c>
      <c r="F650" s="2">
        <v>1042271532988.6317</v>
      </c>
      <c r="G650" s="2" t="str">
        <f>Table1_1[[#This Row],[Country Name]]&amp;"|"&amp;Table1_1[[#This Row],[Series Name]]&amp;"|"&amp;Table1_1[[#This Row],[Years]]</f>
        <v>Indonesia|GDP (current US$)|2018</v>
      </c>
    </row>
    <row r="651" spans="1:7" x14ac:dyDescent="0.3">
      <c r="A651" s="2" t="s">
        <v>102</v>
      </c>
      <c r="B651" s="2" t="s">
        <v>143</v>
      </c>
      <c r="C651" s="2" t="s">
        <v>25</v>
      </c>
      <c r="D651" s="2" t="s">
        <v>89</v>
      </c>
      <c r="E651" s="2" t="s">
        <v>161</v>
      </c>
      <c r="F651" s="2">
        <v>1119099871350.1992</v>
      </c>
      <c r="G651" s="2" t="str">
        <f>Table1_1[[#This Row],[Country Name]]&amp;"|"&amp;Table1_1[[#This Row],[Series Name]]&amp;"|"&amp;Table1_1[[#This Row],[Years]]</f>
        <v>Indonesia|GDP (current US$)|2019</v>
      </c>
    </row>
    <row r="652" spans="1:7" x14ac:dyDescent="0.3">
      <c r="A652" s="2" t="s">
        <v>102</v>
      </c>
      <c r="B652" s="2" t="s">
        <v>143</v>
      </c>
      <c r="C652" s="2" t="s">
        <v>25</v>
      </c>
      <c r="D652" s="2" t="s">
        <v>89</v>
      </c>
      <c r="E652" s="2" t="s">
        <v>162</v>
      </c>
      <c r="F652" s="2">
        <v>1059054842698.4821</v>
      </c>
      <c r="G652" s="2" t="str">
        <f>Table1_1[[#This Row],[Country Name]]&amp;"|"&amp;Table1_1[[#This Row],[Series Name]]&amp;"|"&amp;Table1_1[[#This Row],[Years]]</f>
        <v>Indonesia|GDP (current US$)|2020</v>
      </c>
    </row>
    <row r="653" spans="1:7" x14ac:dyDescent="0.3">
      <c r="A653" s="2" t="s">
        <v>102</v>
      </c>
      <c r="B653" s="2" t="s">
        <v>143</v>
      </c>
      <c r="C653" s="2" t="s">
        <v>25</v>
      </c>
      <c r="D653" s="2" t="s">
        <v>89</v>
      </c>
      <c r="E653" s="2" t="s">
        <v>163</v>
      </c>
      <c r="F653" s="2">
        <v>1186509691086.7307</v>
      </c>
      <c r="G653" s="2" t="str">
        <f>Table1_1[[#This Row],[Country Name]]&amp;"|"&amp;Table1_1[[#This Row],[Series Name]]&amp;"|"&amp;Table1_1[[#This Row],[Years]]</f>
        <v>Indonesia|GDP (current US$)|2021</v>
      </c>
    </row>
    <row r="654" spans="1:7" x14ac:dyDescent="0.3">
      <c r="A654" s="2" t="s">
        <v>102</v>
      </c>
      <c r="B654" s="2" t="s">
        <v>143</v>
      </c>
      <c r="C654" s="2" t="s">
        <v>25</v>
      </c>
      <c r="D654" s="2" t="s">
        <v>89</v>
      </c>
      <c r="E654" s="2" t="s">
        <v>164</v>
      </c>
      <c r="F654" s="2">
        <v>1319101183380.1516</v>
      </c>
      <c r="G654" s="2" t="str">
        <f>Table1_1[[#This Row],[Country Name]]&amp;"|"&amp;Table1_1[[#This Row],[Series Name]]&amp;"|"&amp;Table1_1[[#This Row],[Years]]</f>
        <v>Indonesia|GDP (current US$)|2022</v>
      </c>
    </row>
    <row r="655" spans="1:7" x14ac:dyDescent="0.3">
      <c r="A655" s="2" t="s">
        <v>102</v>
      </c>
      <c r="B655" s="2" t="s">
        <v>143</v>
      </c>
      <c r="C655" s="2" t="s">
        <v>25</v>
      </c>
      <c r="D655" s="2" t="s">
        <v>89</v>
      </c>
      <c r="E655" s="2" t="s">
        <v>165</v>
      </c>
      <c r="F655" s="2">
        <v>1371166925749.8774</v>
      </c>
      <c r="G655" s="2" t="str">
        <f>Table1_1[[#This Row],[Country Name]]&amp;"|"&amp;Table1_1[[#This Row],[Series Name]]&amp;"|"&amp;Table1_1[[#This Row],[Years]]</f>
        <v>Indonesia|GDP (current US$)|2023</v>
      </c>
    </row>
    <row r="656" spans="1:7" x14ac:dyDescent="0.3">
      <c r="A656" s="2" t="s">
        <v>102</v>
      </c>
      <c r="B656" s="2" t="s">
        <v>143</v>
      </c>
      <c r="C656" s="2" t="s">
        <v>25</v>
      </c>
      <c r="D656" s="2" t="s">
        <v>89</v>
      </c>
      <c r="E656" s="2" t="s">
        <v>166</v>
      </c>
      <c r="F656" s="2">
        <v>1396301788461.6938</v>
      </c>
      <c r="G656" s="2" t="str">
        <f>Table1_1[[#This Row],[Country Name]]&amp;"|"&amp;Table1_1[[#This Row],[Series Name]]&amp;"|"&amp;Table1_1[[#This Row],[Years]]</f>
        <v>Indonesia|GDP (current US$)|2024</v>
      </c>
    </row>
    <row r="657" spans="1:7" x14ac:dyDescent="0.3">
      <c r="A657" s="2" t="s">
        <v>102</v>
      </c>
      <c r="B657" s="2" t="s">
        <v>143</v>
      </c>
      <c r="C657" s="2" t="s">
        <v>25</v>
      </c>
      <c r="D657" s="2" t="s">
        <v>89</v>
      </c>
      <c r="E657" s="2" t="s">
        <v>167</v>
      </c>
      <c r="F657" s="2">
        <v>1445642584163.8086</v>
      </c>
      <c r="G657" s="2" t="str">
        <f>Table1_1[[#This Row],[Country Name]]&amp;"|"&amp;Table1_1[[#This Row],[Series Name]]&amp;"|"&amp;Table1_1[[#This Row],[Years]]</f>
        <v>Indonesia|GDP (current US$)|2025</v>
      </c>
    </row>
    <row r="658" spans="1:7" x14ac:dyDescent="0.3">
      <c r="A658" s="2" t="s">
        <v>102</v>
      </c>
      <c r="B658" s="2" t="s">
        <v>143</v>
      </c>
      <c r="C658" s="2" t="s">
        <v>67</v>
      </c>
      <c r="D658" s="2" t="s">
        <v>24</v>
      </c>
      <c r="E658" s="2" t="s">
        <v>152</v>
      </c>
      <c r="F658" s="2">
        <v>6.2238541806236611</v>
      </c>
      <c r="G658" s="2" t="str">
        <f>Table1_1[[#This Row],[Country Name]]&amp;"|"&amp;Table1_1[[#This Row],[Series Name]]&amp;"|"&amp;Table1_1[[#This Row],[Years]]</f>
        <v>Indonesia|GDP growth (annual %)|2010</v>
      </c>
    </row>
    <row r="659" spans="1:7" x14ac:dyDescent="0.3">
      <c r="A659" s="2" t="s">
        <v>102</v>
      </c>
      <c r="B659" s="2" t="s">
        <v>143</v>
      </c>
      <c r="C659" s="2" t="s">
        <v>67</v>
      </c>
      <c r="D659" s="2" t="s">
        <v>24</v>
      </c>
      <c r="E659" s="2" t="s">
        <v>153</v>
      </c>
      <c r="F659" s="2">
        <v>6.1697842077100802</v>
      </c>
      <c r="G659" s="2" t="str">
        <f>Table1_1[[#This Row],[Country Name]]&amp;"|"&amp;Table1_1[[#This Row],[Series Name]]&amp;"|"&amp;Table1_1[[#This Row],[Years]]</f>
        <v>Indonesia|GDP growth (annual %)|2011</v>
      </c>
    </row>
    <row r="660" spans="1:7" x14ac:dyDescent="0.3">
      <c r="A660" s="2" t="s">
        <v>102</v>
      </c>
      <c r="B660" s="2" t="s">
        <v>143</v>
      </c>
      <c r="C660" s="2" t="s">
        <v>67</v>
      </c>
      <c r="D660" s="2" t="s">
        <v>24</v>
      </c>
      <c r="E660" s="2" t="s">
        <v>154</v>
      </c>
      <c r="F660" s="2">
        <v>6.0300506530561506</v>
      </c>
      <c r="G660" s="2" t="str">
        <f>Table1_1[[#This Row],[Country Name]]&amp;"|"&amp;Table1_1[[#This Row],[Series Name]]&amp;"|"&amp;Table1_1[[#This Row],[Years]]</f>
        <v>Indonesia|GDP growth (annual %)|2012</v>
      </c>
    </row>
    <row r="661" spans="1:7" x14ac:dyDescent="0.3">
      <c r="A661" s="2" t="s">
        <v>102</v>
      </c>
      <c r="B661" s="2" t="s">
        <v>143</v>
      </c>
      <c r="C661" s="2" t="s">
        <v>67</v>
      </c>
      <c r="D661" s="2" t="s">
        <v>24</v>
      </c>
      <c r="E661" s="2" t="s">
        <v>155</v>
      </c>
      <c r="F661" s="2">
        <v>5.5572636889100977</v>
      </c>
      <c r="G661" s="2" t="str">
        <f>Table1_1[[#This Row],[Country Name]]&amp;"|"&amp;Table1_1[[#This Row],[Series Name]]&amp;"|"&amp;Table1_1[[#This Row],[Years]]</f>
        <v>Indonesia|GDP growth (annual %)|2013</v>
      </c>
    </row>
    <row r="662" spans="1:7" x14ac:dyDescent="0.3">
      <c r="A662" s="2" t="s">
        <v>102</v>
      </c>
      <c r="B662" s="2" t="s">
        <v>143</v>
      </c>
      <c r="C662" s="2" t="s">
        <v>67</v>
      </c>
      <c r="D662" s="2" t="s">
        <v>24</v>
      </c>
      <c r="E662" s="2" t="s">
        <v>156</v>
      </c>
      <c r="F662" s="2">
        <v>5.0066684257549952</v>
      </c>
      <c r="G662" s="2" t="str">
        <f>Table1_1[[#This Row],[Country Name]]&amp;"|"&amp;Table1_1[[#This Row],[Series Name]]&amp;"|"&amp;Table1_1[[#This Row],[Years]]</f>
        <v>Indonesia|GDP growth (annual %)|2014</v>
      </c>
    </row>
    <row r="663" spans="1:7" x14ac:dyDescent="0.3">
      <c r="A663" s="2" t="s">
        <v>102</v>
      </c>
      <c r="B663" s="2" t="s">
        <v>143</v>
      </c>
      <c r="C663" s="2" t="s">
        <v>67</v>
      </c>
      <c r="D663" s="2" t="s">
        <v>24</v>
      </c>
      <c r="E663" s="2" t="s">
        <v>157</v>
      </c>
      <c r="F663" s="2">
        <v>4.8763223002212328</v>
      </c>
      <c r="G663" s="2" t="str">
        <f>Table1_1[[#This Row],[Country Name]]&amp;"|"&amp;Table1_1[[#This Row],[Series Name]]&amp;"|"&amp;Table1_1[[#This Row],[Years]]</f>
        <v>Indonesia|GDP growth (annual %)|2015</v>
      </c>
    </row>
    <row r="664" spans="1:7" x14ac:dyDescent="0.3">
      <c r="A664" s="2" t="s">
        <v>102</v>
      </c>
      <c r="B664" s="2" t="s">
        <v>143</v>
      </c>
      <c r="C664" s="2" t="s">
        <v>67</v>
      </c>
      <c r="D664" s="2" t="s">
        <v>24</v>
      </c>
      <c r="E664" s="2" t="s">
        <v>158</v>
      </c>
      <c r="F664" s="2">
        <v>5.0330691828017677</v>
      </c>
      <c r="G664" s="2" t="str">
        <f>Table1_1[[#This Row],[Country Name]]&amp;"|"&amp;Table1_1[[#This Row],[Series Name]]&amp;"|"&amp;Table1_1[[#This Row],[Years]]</f>
        <v>Indonesia|GDP growth (annual %)|2016</v>
      </c>
    </row>
    <row r="665" spans="1:7" x14ac:dyDescent="0.3">
      <c r="A665" s="2" t="s">
        <v>102</v>
      </c>
      <c r="B665" s="2" t="s">
        <v>143</v>
      </c>
      <c r="C665" s="2" t="s">
        <v>67</v>
      </c>
      <c r="D665" s="2" t="s">
        <v>24</v>
      </c>
      <c r="E665" s="2" t="s">
        <v>159</v>
      </c>
      <c r="F665" s="2">
        <v>5.0697859013491637</v>
      </c>
      <c r="G665" s="2" t="str">
        <f>Table1_1[[#This Row],[Country Name]]&amp;"|"&amp;Table1_1[[#This Row],[Series Name]]&amp;"|"&amp;Table1_1[[#This Row],[Years]]</f>
        <v>Indonesia|GDP growth (annual %)|2017</v>
      </c>
    </row>
    <row r="666" spans="1:7" x14ac:dyDescent="0.3">
      <c r="A666" s="2" t="s">
        <v>102</v>
      </c>
      <c r="B666" s="2" t="s">
        <v>143</v>
      </c>
      <c r="C666" s="2" t="s">
        <v>67</v>
      </c>
      <c r="D666" s="2" t="s">
        <v>24</v>
      </c>
      <c r="E666" s="2" t="s">
        <v>160</v>
      </c>
      <c r="F666" s="2">
        <v>5.1742915395502393</v>
      </c>
      <c r="G666" s="2" t="str">
        <f>Table1_1[[#This Row],[Country Name]]&amp;"|"&amp;Table1_1[[#This Row],[Series Name]]&amp;"|"&amp;Table1_1[[#This Row],[Years]]</f>
        <v>Indonesia|GDP growth (annual %)|2018</v>
      </c>
    </row>
    <row r="667" spans="1:7" x14ac:dyDescent="0.3">
      <c r="A667" s="2" t="s">
        <v>102</v>
      </c>
      <c r="B667" s="2" t="s">
        <v>143</v>
      </c>
      <c r="C667" s="2" t="s">
        <v>67</v>
      </c>
      <c r="D667" s="2" t="s">
        <v>24</v>
      </c>
      <c r="E667" s="2" t="s">
        <v>161</v>
      </c>
      <c r="F667" s="2">
        <v>5.0192876804628241</v>
      </c>
      <c r="G667" s="2" t="str">
        <f>Table1_1[[#This Row],[Country Name]]&amp;"|"&amp;Table1_1[[#This Row],[Series Name]]&amp;"|"&amp;Table1_1[[#This Row],[Years]]</f>
        <v>Indonesia|GDP growth (annual %)|2019</v>
      </c>
    </row>
    <row r="668" spans="1:7" x14ac:dyDescent="0.3">
      <c r="A668" s="2" t="s">
        <v>102</v>
      </c>
      <c r="B668" s="2" t="s">
        <v>143</v>
      </c>
      <c r="C668" s="2" t="s">
        <v>67</v>
      </c>
      <c r="D668" s="2" t="s">
        <v>24</v>
      </c>
      <c r="E668" s="2" t="s">
        <v>162</v>
      </c>
      <c r="F668" s="2">
        <v>-2.065511829341645</v>
      </c>
      <c r="G668" s="2" t="str">
        <f>Table1_1[[#This Row],[Country Name]]&amp;"|"&amp;Table1_1[[#This Row],[Series Name]]&amp;"|"&amp;Table1_1[[#This Row],[Years]]</f>
        <v>Indonesia|GDP growth (annual %)|2020</v>
      </c>
    </row>
    <row r="669" spans="1:7" x14ac:dyDescent="0.3">
      <c r="A669" s="2" t="s">
        <v>102</v>
      </c>
      <c r="B669" s="2" t="s">
        <v>143</v>
      </c>
      <c r="C669" s="2" t="s">
        <v>67</v>
      </c>
      <c r="D669" s="2" t="s">
        <v>24</v>
      </c>
      <c r="E669" s="2" t="s">
        <v>163</v>
      </c>
      <c r="F669" s="2">
        <v>3.7028856282775138</v>
      </c>
      <c r="G669" s="2" t="str">
        <f>Table1_1[[#This Row],[Country Name]]&amp;"|"&amp;Table1_1[[#This Row],[Series Name]]&amp;"|"&amp;Table1_1[[#This Row],[Years]]</f>
        <v>Indonesia|GDP growth (annual %)|2021</v>
      </c>
    </row>
    <row r="670" spans="1:7" x14ac:dyDescent="0.3">
      <c r="A670" s="2" t="s">
        <v>102</v>
      </c>
      <c r="B670" s="2" t="s">
        <v>143</v>
      </c>
      <c r="C670" s="2" t="s">
        <v>67</v>
      </c>
      <c r="D670" s="2" t="s">
        <v>24</v>
      </c>
      <c r="E670" s="2" t="s">
        <v>164</v>
      </c>
      <c r="F670" s="2">
        <v>5.3071972266479861</v>
      </c>
      <c r="G670" s="2" t="str">
        <f>Table1_1[[#This Row],[Country Name]]&amp;"|"&amp;Table1_1[[#This Row],[Series Name]]&amp;"|"&amp;Table1_1[[#This Row],[Years]]</f>
        <v>Indonesia|GDP growth (annual %)|2022</v>
      </c>
    </row>
    <row r="671" spans="1:7" x14ac:dyDescent="0.3">
      <c r="A671" s="2" t="s">
        <v>102</v>
      </c>
      <c r="B671" s="2" t="s">
        <v>143</v>
      </c>
      <c r="C671" s="2" t="s">
        <v>67</v>
      </c>
      <c r="D671" s="2" t="s">
        <v>24</v>
      </c>
      <c r="E671" s="2" t="s">
        <v>165</v>
      </c>
      <c r="F671" s="2">
        <v>5.0488311785551616</v>
      </c>
      <c r="G671" s="2" t="str">
        <f>Table1_1[[#This Row],[Country Name]]&amp;"|"&amp;Table1_1[[#This Row],[Series Name]]&amp;"|"&amp;Table1_1[[#This Row],[Years]]</f>
        <v>Indonesia|GDP growth (annual %)|2023</v>
      </c>
    </row>
    <row r="672" spans="1:7" x14ac:dyDescent="0.3">
      <c r="A672" s="2" t="s">
        <v>102</v>
      </c>
      <c r="B672" s="2" t="s">
        <v>143</v>
      </c>
      <c r="C672" s="2" t="s">
        <v>67</v>
      </c>
      <c r="D672" s="2" t="s">
        <v>24</v>
      </c>
      <c r="E672" s="2" t="s">
        <v>166</v>
      </c>
      <c r="F672" s="2">
        <v>5.0325747708851907</v>
      </c>
      <c r="G672" s="2" t="str">
        <f>Table1_1[[#This Row],[Country Name]]&amp;"|"&amp;Table1_1[[#This Row],[Series Name]]&amp;"|"&amp;Table1_1[[#This Row],[Years]]</f>
        <v>Indonesia|GDP growth (annual %)|2024</v>
      </c>
    </row>
    <row r="673" spans="1:7" x14ac:dyDescent="0.3">
      <c r="A673" s="2" t="s">
        <v>102</v>
      </c>
      <c r="B673" s="2" t="s">
        <v>143</v>
      </c>
      <c r="C673" s="2" t="s">
        <v>67</v>
      </c>
      <c r="D673" s="2" t="s">
        <v>24</v>
      </c>
      <c r="E673" s="2" t="s">
        <v>167</v>
      </c>
      <c r="F673" s="2">
        <v>5.1080890443802502</v>
      </c>
      <c r="G673" s="2" t="str">
        <f>Table1_1[[#This Row],[Country Name]]&amp;"|"&amp;Table1_1[[#This Row],[Series Name]]&amp;"|"&amp;Table1_1[[#This Row],[Years]]</f>
        <v>Indonesia|GDP growth (annual %)|2025</v>
      </c>
    </row>
    <row r="674" spans="1:7" x14ac:dyDescent="0.3">
      <c r="A674" s="2" t="s">
        <v>102</v>
      </c>
      <c r="B674" s="2" t="s">
        <v>143</v>
      </c>
      <c r="C674" s="2" t="s">
        <v>79</v>
      </c>
      <c r="D674" s="2" t="s">
        <v>91</v>
      </c>
      <c r="E674" s="2" t="s">
        <v>152</v>
      </c>
      <c r="F674" s="2">
        <v>5.1342063901588544</v>
      </c>
      <c r="G674" s="2" t="str">
        <f>Table1_1[[#This Row],[Country Name]]&amp;"|"&amp;Table1_1[[#This Row],[Series Name]]&amp;"|"&amp;Table1_1[[#This Row],[Years]]</f>
        <v>Indonesia|Inflation, consumer prices (annual %)|2010</v>
      </c>
    </row>
    <row r="675" spans="1:7" x14ac:dyDescent="0.3">
      <c r="A675" s="2" t="s">
        <v>102</v>
      </c>
      <c r="B675" s="2" t="s">
        <v>143</v>
      </c>
      <c r="C675" s="2" t="s">
        <v>79</v>
      </c>
      <c r="D675" s="2" t="s">
        <v>91</v>
      </c>
      <c r="E675" s="2" t="s">
        <v>153</v>
      </c>
      <c r="F675" s="2">
        <v>5.3560484911258213</v>
      </c>
      <c r="G675" s="2" t="str">
        <f>Table1_1[[#This Row],[Country Name]]&amp;"|"&amp;Table1_1[[#This Row],[Series Name]]&amp;"|"&amp;Table1_1[[#This Row],[Years]]</f>
        <v>Indonesia|Inflation, consumer prices (annual %)|2011</v>
      </c>
    </row>
    <row r="676" spans="1:7" x14ac:dyDescent="0.3">
      <c r="A676" s="2" t="s">
        <v>102</v>
      </c>
      <c r="B676" s="2" t="s">
        <v>143</v>
      </c>
      <c r="C676" s="2" t="s">
        <v>79</v>
      </c>
      <c r="D676" s="2" t="s">
        <v>91</v>
      </c>
      <c r="E676" s="2" t="s">
        <v>154</v>
      </c>
      <c r="F676" s="2">
        <v>4.2795142691943049</v>
      </c>
      <c r="G676" s="2" t="str">
        <f>Table1_1[[#This Row],[Country Name]]&amp;"|"&amp;Table1_1[[#This Row],[Series Name]]&amp;"|"&amp;Table1_1[[#This Row],[Years]]</f>
        <v>Indonesia|Inflation, consumer prices (annual %)|2012</v>
      </c>
    </row>
    <row r="677" spans="1:7" x14ac:dyDescent="0.3">
      <c r="A677" s="2" t="s">
        <v>102</v>
      </c>
      <c r="B677" s="2" t="s">
        <v>143</v>
      </c>
      <c r="C677" s="2" t="s">
        <v>79</v>
      </c>
      <c r="D677" s="2" t="s">
        <v>91</v>
      </c>
      <c r="E677" s="2" t="s">
        <v>155</v>
      </c>
      <c r="F677" s="2">
        <v>6.4124945790039112</v>
      </c>
      <c r="G677" s="2" t="str">
        <f>Table1_1[[#This Row],[Country Name]]&amp;"|"&amp;Table1_1[[#This Row],[Series Name]]&amp;"|"&amp;Table1_1[[#This Row],[Years]]</f>
        <v>Indonesia|Inflation, consumer prices (annual %)|2013</v>
      </c>
    </row>
    <row r="678" spans="1:7" x14ac:dyDescent="0.3">
      <c r="A678" s="2" t="s">
        <v>102</v>
      </c>
      <c r="B678" s="2" t="s">
        <v>143</v>
      </c>
      <c r="C678" s="2" t="s">
        <v>79</v>
      </c>
      <c r="D678" s="2" t="s">
        <v>91</v>
      </c>
      <c r="E678" s="2" t="s">
        <v>156</v>
      </c>
      <c r="F678" s="2">
        <v>6.3949288239655928</v>
      </c>
      <c r="G678" s="2" t="str">
        <f>Table1_1[[#This Row],[Country Name]]&amp;"|"&amp;Table1_1[[#This Row],[Series Name]]&amp;"|"&amp;Table1_1[[#This Row],[Years]]</f>
        <v>Indonesia|Inflation, consumer prices (annual %)|2014</v>
      </c>
    </row>
    <row r="679" spans="1:7" x14ac:dyDescent="0.3">
      <c r="A679" s="2" t="s">
        <v>102</v>
      </c>
      <c r="B679" s="2" t="s">
        <v>143</v>
      </c>
      <c r="C679" s="2" t="s">
        <v>79</v>
      </c>
      <c r="D679" s="2" t="s">
        <v>91</v>
      </c>
      <c r="E679" s="2" t="s">
        <v>157</v>
      </c>
      <c r="F679" s="2">
        <v>6.3631206119664627</v>
      </c>
      <c r="G679" s="2" t="str">
        <f>Table1_1[[#This Row],[Country Name]]&amp;"|"&amp;Table1_1[[#This Row],[Series Name]]&amp;"|"&amp;Table1_1[[#This Row],[Years]]</f>
        <v>Indonesia|Inflation, consumer prices (annual %)|2015</v>
      </c>
    </row>
    <row r="680" spans="1:7" x14ac:dyDescent="0.3">
      <c r="A680" s="2" t="s">
        <v>102</v>
      </c>
      <c r="B680" s="2" t="s">
        <v>143</v>
      </c>
      <c r="C680" s="2" t="s">
        <v>79</v>
      </c>
      <c r="D680" s="2" t="s">
        <v>91</v>
      </c>
      <c r="E680" s="2" t="s">
        <v>158</v>
      </c>
      <c r="F680" s="2">
        <v>3.5258045281545121</v>
      </c>
      <c r="G680" s="2" t="str">
        <f>Table1_1[[#This Row],[Country Name]]&amp;"|"&amp;Table1_1[[#This Row],[Series Name]]&amp;"|"&amp;Table1_1[[#This Row],[Years]]</f>
        <v>Indonesia|Inflation, consumer prices (annual %)|2016</v>
      </c>
    </row>
    <row r="681" spans="1:7" x14ac:dyDescent="0.3">
      <c r="A681" s="2" t="s">
        <v>102</v>
      </c>
      <c r="B681" s="2" t="s">
        <v>143</v>
      </c>
      <c r="C681" s="2" t="s">
        <v>79</v>
      </c>
      <c r="D681" s="2" t="s">
        <v>91</v>
      </c>
      <c r="E681" s="2" t="s">
        <v>159</v>
      </c>
      <c r="F681" s="2">
        <v>3.808798576919489</v>
      </c>
      <c r="G681" s="2" t="str">
        <f>Table1_1[[#This Row],[Country Name]]&amp;"|"&amp;Table1_1[[#This Row],[Series Name]]&amp;"|"&amp;Table1_1[[#This Row],[Years]]</f>
        <v>Indonesia|Inflation, consumer prices (annual %)|2017</v>
      </c>
    </row>
    <row r="682" spans="1:7" x14ac:dyDescent="0.3">
      <c r="A682" s="2" t="s">
        <v>102</v>
      </c>
      <c r="B682" s="2" t="s">
        <v>143</v>
      </c>
      <c r="C682" s="2" t="s">
        <v>79</v>
      </c>
      <c r="D682" s="2" t="s">
        <v>91</v>
      </c>
      <c r="E682" s="2" t="s">
        <v>160</v>
      </c>
      <c r="F682" s="2">
        <v>3.1983475592499611</v>
      </c>
      <c r="G682" s="2" t="str">
        <f>Table1_1[[#This Row],[Country Name]]&amp;"|"&amp;Table1_1[[#This Row],[Series Name]]&amp;"|"&amp;Table1_1[[#This Row],[Years]]</f>
        <v>Indonesia|Inflation, consumer prices (annual %)|2018</v>
      </c>
    </row>
    <row r="683" spans="1:7" x14ac:dyDescent="0.3">
      <c r="A683" s="2" t="s">
        <v>102</v>
      </c>
      <c r="B683" s="2" t="s">
        <v>143</v>
      </c>
      <c r="C683" s="2" t="s">
        <v>79</v>
      </c>
      <c r="D683" s="2" t="s">
        <v>91</v>
      </c>
      <c r="E683" s="2" t="s">
        <v>161</v>
      </c>
      <c r="F683" s="2">
        <v>3.0305846094166058</v>
      </c>
      <c r="G683" s="2" t="str">
        <f>Table1_1[[#This Row],[Country Name]]&amp;"|"&amp;Table1_1[[#This Row],[Series Name]]&amp;"|"&amp;Table1_1[[#This Row],[Years]]</f>
        <v>Indonesia|Inflation, consumer prices (annual %)|2019</v>
      </c>
    </row>
    <row r="684" spans="1:7" x14ac:dyDescent="0.3">
      <c r="A684" s="2" t="s">
        <v>102</v>
      </c>
      <c r="B684" s="2" t="s">
        <v>143</v>
      </c>
      <c r="C684" s="2" t="s">
        <v>79</v>
      </c>
      <c r="D684" s="2" t="s">
        <v>91</v>
      </c>
      <c r="E684" s="2" t="s">
        <v>162</v>
      </c>
      <c r="F684" s="2">
        <v>1.919835272707928</v>
      </c>
      <c r="G684" s="2" t="str">
        <f>Table1_1[[#This Row],[Country Name]]&amp;"|"&amp;Table1_1[[#This Row],[Series Name]]&amp;"|"&amp;Table1_1[[#This Row],[Years]]</f>
        <v>Indonesia|Inflation, consumer prices (annual %)|2020</v>
      </c>
    </row>
    <row r="685" spans="1:7" x14ac:dyDescent="0.3">
      <c r="A685" s="2" t="s">
        <v>102</v>
      </c>
      <c r="B685" s="2" t="s">
        <v>143</v>
      </c>
      <c r="C685" s="2" t="s">
        <v>79</v>
      </c>
      <c r="D685" s="2" t="s">
        <v>91</v>
      </c>
      <c r="E685" s="2" t="s">
        <v>163</v>
      </c>
      <c r="F685" s="2">
        <v>1.5600788298333439</v>
      </c>
      <c r="G685" s="2" t="str">
        <f>Table1_1[[#This Row],[Country Name]]&amp;"|"&amp;Table1_1[[#This Row],[Series Name]]&amp;"|"&amp;Table1_1[[#This Row],[Years]]</f>
        <v>Indonesia|Inflation, consumer prices (annual %)|2021</v>
      </c>
    </row>
    <row r="686" spans="1:7" x14ac:dyDescent="0.3">
      <c r="A686" s="2" t="s">
        <v>102</v>
      </c>
      <c r="B686" s="2" t="s">
        <v>143</v>
      </c>
      <c r="C686" s="2" t="s">
        <v>79</v>
      </c>
      <c r="D686" s="2" t="s">
        <v>91</v>
      </c>
      <c r="E686" s="2" t="s">
        <v>164</v>
      </c>
      <c r="F686" s="2">
        <v>4.2094646371478417</v>
      </c>
      <c r="G686" s="2" t="str">
        <f>Table1_1[[#This Row],[Country Name]]&amp;"|"&amp;Table1_1[[#This Row],[Series Name]]&amp;"|"&amp;Table1_1[[#This Row],[Years]]</f>
        <v>Indonesia|Inflation, consumer prices (annual %)|2022</v>
      </c>
    </row>
    <row r="687" spans="1:7" x14ac:dyDescent="0.3">
      <c r="A687" s="2" t="s">
        <v>102</v>
      </c>
      <c r="B687" s="2" t="s">
        <v>143</v>
      </c>
      <c r="C687" s="2" t="s">
        <v>79</v>
      </c>
      <c r="D687" s="2" t="s">
        <v>91</v>
      </c>
      <c r="E687" s="2" t="s">
        <v>165</v>
      </c>
      <c r="F687" s="2">
        <v>3.6693865485976112</v>
      </c>
      <c r="G687" s="2" t="str">
        <f>Table1_1[[#This Row],[Country Name]]&amp;"|"&amp;Table1_1[[#This Row],[Series Name]]&amp;"|"&amp;Table1_1[[#This Row],[Years]]</f>
        <v>Indonesia|Inflation, consumer prices (annual %)|2023</v>
      </c>
    </row>
    <row r="688" spans="1:7" x14ac:dyDescent="0.3">
      <c r="A688" s="2" t="s">
        <v>102</v>
      </c>
      <c r="B688" s="2" t="s">
        <v>143</v>
      </c>
      <c r="C688" s="2" t="s">
        <v>79</v>
      </c>
      <c r="D688" s="2" t="s">
        <v>91</v>
      </c>
      <c r="E688" s="2" t="s">
        <v>166</v>
      </c>
      <c r="F688" s="2">
        <v>2.181512736151888</v>
      </c>
      <c r="G688" s="2" t="str">
        <f>Table1_1[[#This Row],[Country Name]]&amp;"|"&amp;Table1_1[[#This Row],[Series Name]]&amp;"|"&amp;Table1_1[[#This Row],[Years]]</f>
        <v>Indonesia|Inflation, consumer prices (annual %)|2024</v>
      </c>
    </row>
    <row r="689" spans="1:7" x14ac:dyDescent="0.3">
      <c r="A689" s="2" t="s">
        <v>102</v>
      </c>
      <c r="B689" s="2" t="s">
        <v>143</v>
      </c>
      <c r="C689" s="2" t="s">
        <v>79</v>
      </c>
      <c r="D689" s="2" t="s">
        <v>91</v>
      </c>
      <c r="E689" s="2" t="s">
        <v>167</v>
      </c>
      <c r="F689" s="2">
        <v>1.9133344329507951</v>
      </c>
      <c r="G689" s="2" t="str">
        <f>Table1_1[[#This Row],[Country Name]]&amp;"|"&amp;Table1_1[[#This Row],[Series Name]]&amp;"|"&amp;Table1_1[[#This Row],[Years]]</f>
        <v>Indonesia|Inflation, consumer prices (annual %)|2025</v>
      </c>
    </row>
    <row r="690" spans="1:7" x14ac:dyDescent="0.3">
      <c r="A690" s="2" t="s">
        <v>102</v>
      </c>
      <c r="B690" s="2" t="s">
        <v>143</v>
      </c>
      <c r="C690" s="2" t="s">
        <v>146</v>
      </c>
      <c r="D690" s="2" t="s">
        <v>131</v>
      </c>
      <c r="E690" s="2" t="s">
        <v>152</v>
      </c>
      <c r="F690" s="2">
        <v>5.6139999999999999</v>
      </c>
      <c r="G690" s="2" t="str">
        <f>Table1_1[[#This Row],[Country Name]]&amp;"|"&amp;Table1_1[[#This Row],[Series Name]]&amp;"|"&amp;Table1_1[[#This Row],[Years]]</f>
        <v>Indonesia|Unemployment, total (% of total labor force) (modeled ILO estimate)|2010</v>
      </c>
    </row>
    <row r="691" spans="1:7" x14ac:dyDescent="0.3">
      <c r="A691" s="2" t="s">
        <v>102</v>
      </c>
      <c r="B691" s="2" t="s">
        <v>143</v>
      </c>
      <c r="C691" s="2" t="s">
        <v>146</v>
      </c>
      <c r="D691" s="2" t="s">
        <v>131</v>
      </c>
      <c r="E691" s="2" t="s">
        <v>153</v>
      </c>
      <c r="F691" s="2">
        <v>5.1529999999999996</v>
      </c>
      <c r="G691" s="2" t="str">
        <f>Table1_1[[#This Row],[Country Name]]&amp;"|"&amp;Table1_1[[#This Row],[Series Name]]&amp;"|"&amp;Table1_1[[#This Row],[Years]]</f>
        <v>Indonesia|Unemployment, total (% of total labor force) (modeled ILO estimate)|2011</v>
      </c>
    </row>
    <row r="692" spans="1:7" x14ac:dyDescent="0.3">
      <c r="A692" s="2" t="s">
        <v>102</v>
      </c>
      <c r="B692" s="2" t="s">
        <v>143</v>
      </c>
      <c r="C692" s="2" t="s">
        <v>146</v>
      </c>
      <c r="D692" s="2" t="s">
        <v>131</v>
      </c>
      <c r="E692" s="2" t="s">
        <v>154</v>
      </c>
      <c r="F692" s="2">
        <v>4.468</v>
      </c>
      <c r="G692" s="2" t="str">
        <f>Table1_1[[#This Row],[Country Name]]&amp;"|"&amp;Table1_1[[#This Row],[Series Name]]&amp;"|"&amp;Table1_1[[#This Row],[Years]]</f>
        <v>Indonesia|Unemployment, total (% of total labor force) (modeled ILO estimate)|2012</v>
      </c>
    </row>
    <row r="693" spans="1:7" x14ac:dyDescent="0.3">
      <c r="A693" s="2" t="s">
        <v>102</v>
      </c>
      <c r="B693" s="2" t="s">
        <v>143</v>
      </c>
      <c r="C693" s="2" t="s">
        <v>146</v>
      </c>
      <c r="D693" s="2" t="s">
        <v>131</v>
      </c>
      <c r="E693" s="2" t="s">
        <v>155</v>
      </c>
      <c r="F693" s="2">
        <v>4.3360000000000003</v>
      </c>
      <c r="G693" s="2" t="str">
        <f>Table1_1[[#This Row],[Country Name]]&amp;"|"&amp;Table1_1[[#This Row],[Series Name]]&amp;"|"&amp;Table1_1[[#This Row],[Years]]</f>
        <v>Indonesia|Unemployment, total (% of total labor force) (modeled ILO estimate)|2013</v>
      </c>
    </row>
    <row r="694" spans="1:7" x14ac:dyDescent="0.3">
      <c r="A694" s="2" t="s">
        <v>102</v>
      </c>
      <c r="B694" s="2" t="s">
        <v>143</v>
      </c>
      <c r="C694" s="2" t="s">
        <v>146</v>
      </c>
      <c r="D694" s="2" t="s">
        <v>131</v>
      </c>
      <c r="E694" s="2" t="s">
        <v>156</v>
      </c>
      <c r="F694" s="2">
        <v>4.0490000000000004</v>
      </c>
      <c r="G694" s="2" t="str">
        <f>Table1_1[[#This Row],[Country Name]]&amp;"|"&amp;Table1_1[[#This Row],[Series Name]]&amp;"|"&amp;Table1_1[[#This Row],[Years]]</f>
        <v>Indonesia|Unemployment, total (% of total labor force) (modeled ILO estimate)|2014</v>
      </c>
    </row>
    <row r="695" spans="1:7" x14ac:dyDescent="0.3">
      <c r="A695" s="2" t="s">
        <v>102</v>
      </c>
      <c r="B695" s="2" t="s">
        <v>143</v>
      </c>
      <c r="C695" s="2" t="s">
        <v>146</v>
      </c>
      <c r="D695" s="2" t="s">
        <v>131</v>
      </c>
      <c r="E695" s="2" t="s">
        <v>157</v>
      </c>
      <c r="F695" s="2">
        <v>4.5140000000000002</v>
      </c>
      <c r="G695" s="2" t="str">
        <f>Table1_1[[#This Row],[Country Name]]&amp;"|"&amp;Table1_1[[#This Row],[Series Name]]&amp;"|"&amp;Table1_1[[#This Row],[Years]]</f>
        <v>Indonesia|Unemployment, total (% of total labor force) (modeled ILO estimate)|2015</v>
      </c>
    </row>
    <row r="696" spans="1:7" x14ac:dyDescent="0.3">
      <c r="A696" s="2" t="s">
        <v>102</v>
      </c>
      <c r="B696" s="2" t="s">
        <v>143</v>
      </c>
      <c r="C696" s="2" t="s">
        <v>146</v>
      </c>
      <c r="D696" s="2" t="s">
        <v>131</v>
      </c>
      <c r="E696" s="2" t="s">
        <v>158</v>
      </c>
      <c r="F696" s="2">
        <v>4.3010000000000002</v>
      </c>
      <c r="G696" s="2" t="str">
        <f>Table1_1[[#This Row],[Country Name]]&amp;"|"&amp;Table1_1[[#This Row],[Series Name]]&amp;"|"&amp;Table1_1[[#This Row],[Years]]</f>
        <v>Indonesia|Unemployment, total (% of total labor force) (modeled ILO estimate)|2016</v>
      </c>
    </row>
    <row r="697" spans="1:7" x14ac:dyDescent="0.3">
      <c r="A697" s="2" t="s">
        <v>102</v>
      </c>
      <c r="B697" s="2" t="s">
        <v>143</v>
      </c>
      <c r="C697" s="2" t="s">
        <v>146</v>
      </c>
      <c r="D697" s="2" t="s">
        <v>131</v>
      </c>
      <c r="E697" s="2" t="s">
        <v>159</v>
      </c>
      <c r="F697" s="2">
        <v>3.7829999999999999</v>
      </c>
      <c r="G697" s="2" t="str">
        <f>Table1_1[[#This Row],[Country Name]]&amp;"|"&amp;Table1_1[[#This Row],[Series Name]]&amp;"|"&amp;Table1_1[[#This Row],[Years]]</f>
        <v>Indonesia|Unemployment, total (% of total labor force) (modeled ILO estimate)|2017</v>
      </c>
    </row>
    <row r="698" spans="1:7" x14ac:dyDescent="0.3">
      <c r="A698" s="2" t="s">
        <v>102</v>
      </c>
      <c r="B698" s="2" t="s">
        <v>143</v>
      </c>
      <c r="C698" s="2" t="s">
        <v>146</v>
      </c>
      <c r="D698" s="2" t="s">
        <v>131</v>
      </c>
      <c r="E698" s="2" t="s">
        <v>160</v>
      </c>
      <c r="F698" s="2">
        <v>4.3869999999999996</v>
      </c>
      <c r="G698" s="2" t="str">
        <f>Table1_1[[#This Row],[Country Name]]&amp;"|"&amp;Table1_1[[#This Row],[Series Name]]&amp;"|"&amp;Table1_1[[#This Row],[Years]]</f>
        <v>Indonesia|Unemployment, total (% of total labor force) (modeled ILO estimate)|2018</v>
      </c>
    </row>
    <row r="699" spans="1:7" x14ac:dyDescent="0.3">
      <c r="A699" s="2" t="s">
        <v>102</v>
      </c>
      <c r="B699" s="2" t="s">
        <v>143</v>
      </c>
      <c r="C699" s="2" t="s">
        <v>146</v>
      </c>
      <c r="D699" s="2" t="s">
        <v>131</v>
      </c>
      <c r="E699" s="2" t="s">
        <v>161</v>
      </c>
      <c r="F699" s="2">
        <v>3.59</v>
      </c>
      <c r="G699" s="2" t="str">
        <f>Table1_1[[#This Row],[Country Name]]&amp;"|"&amp;Table1_1[[#This Row],[Series Name]]&amp;"|"&amp;Table1_1[[#This Row],[Years]]</f>
        <v>Indonesia|Unemployment, total (% of total labor force) (modeled ILO estimate)|2019</v>
      </c>
    </row>
    <row r="700" spans="1:7" x14ac:dyDescent="0.3">
      <c r="A700" s="2" t="s">
        <v>102</v>
      </c>
      <c r="B700" s="2" t="s">
        <v>143</v>
      </c>
      <c r="C700" s="2" t="s">
        <v>146</v>
      </c>
      <c r="D700" s="2" t="s">
        <v>131</v>
      </c>
      <c r="E700" s="2" t="s">
        <v>162</v>
      </c>
      <c r="F700" s="2">
        <v>4.2549999999999999</v>
      </c>
      <c r="G700" s="2" t="str">
        <f>Table1_1[[#This Row],[Country Name]]&amp;"|"&amp;Table1_1[[#This Row],[Series Name]]&amp;"|"&amp;Table1_1[[#This Row],[Years]]</f>
        <v>Indonesia|Unemployment, total (% of total labor force) (modeled ILO estimate)|2020</v>
      </c>
    </row>
    <row r="701" spans="1:7" x14ac:dyDescent="0.3">
      <c r="A701" s="2" t="s">
        <v>102</v>
      </c>
      <c r="B701" s="2" t="s">
        <v>143</v>
      </c>
      <c r="C701" s="2" t="s">
        <v>146</v>
      </c>
      <c r="D701" s="2" t="s">
        <v>131</v>
      </c>
      <c r="E701" s="2" t="s">
        <v>163</v>
      </c>
      <c r="F701" s="2">
        <v>3.827</v>
      </c>
      <c r="G701" s="2" t="str">
        <f>Table1_1[[#This Row],[Country Name]]&amp;"|"&amp;Table1_1[[#This Row],[Series Name]]&amp;"|"&amp;Table1_1[[#This Row],[Years]]</f>
        <v>Indonesia|Unemployment, total (% of total labor force) (modeled ILO estimate)|2021</v>
      </c>
    </row>
    <row r="702" spans="1:7" x14ac:dyDescent="0.3">
      <c r="A702" s="2" t="s">
        <v>102</v>
      </c>
      <c r="B702" s="2" t="s">
        <v>143</v>
      </c>
      <c r="C702" s="2" t="s">
        <v>146</v>
      </c>
      <c r="D702" s="2" t="s">
        <v>131</v>
      </c>
      <c r="E702" s="2" t="s">
        <v>164</v>
      </c>
      <c r="F702" s="2">
        <v>3.4620000000000002</v>
      </c>
      <c r="G702" s="2" t="str">
        <f>Table1_1[[#This Row],[Country Name]]&amp;"|"&amp;Table1_1[[#This Row],[Series Name]]&amp;"|"&amp;Table1_1[[#This Row],[Years]]</f>
        <v>Indonesia|Unemployment, total (% of total labor force) (modeled ILO estimate)|2022</v>
      </c>
    </row>
    <row r="703" spans="1:7" x14ac:dyDescent="0.3">
      <c r="A703" s="2" t="s">
        <v>102</v>
      </c>
      <c r="B703" s="2" t="s">
        <v>143</v>
      </c>
      <c r="C703" s="2" t="s">
        <v>146</v>
      </c>
      <c r="D703" s="2" t="s">
        <v>131</v>
      </c>
      <c r="E703" s="2" t="s">
        <v>165</v>
      </c>
      <c r="F703" s="2">
        <v>3.3079999999999998</v>
      </c>
      <c r="G703" s="2" t="str">
        <f>Table1_1[[#This Row],[Country Name]]&amp;"|"&amp;Table1_1[[#This Row],[Series Name]]&amp;"|"&amp;Table1_1[[#This Row],[Years]]</f>
        <v>Indonesia|Unemployment, total (% of total labor force) (modeled ILO estimate)|2023</v>
      </c>
    </row>
    <row r="704" spans="1:7" x14ac:dyDescent="0.3">
      <c r="A704" s="2" t="s">
        <v>102</v>
      </c>
      <c r="B704" s="2" t="s">
        <v>143</v>
      </c>
      <c r="C704" s="2" t="s">
        <v>146</v>
      </c>
      <c r="D704" s="2" t="s">
        <v>131</v>
      </c>
      <c r="E704" s="2" t="s">
        <v>166</v>
      </c>
      <c r="F704" s="2">
        <v>3.3010000000000002</v>
      </c>
      <c r="G704" s="2" t="str">
        <f>Table1_1[[#This Row],[Country Name]]&amp;"|"&amp;Table1_1[[#This Row],[Series Name]]&amp;"|"&amp;Table1_1[[#This Row],[Years]]</f>
        <v>Indonesia|Unemployment, total (% of total labor force) (modeled ILO estimate)|2024</v>
      </c>
    </row>
    <row r="705" spans="1:7" x14ac:dyDescent="0.3">
      <c r="A705" s="2" t="s">
        <v>102</v>
      </c>
      <c r="B705" s="2" t="s">
        <v>143</v>
      </c>
      <c r="C705" s="2" t="s">
        <v>146</v>
      </c>
      <c r="D705" s="2" t="s">
        <v>131</v>
      </c>
      <c r="E705" s="2" t="s">
        <v>167</v>
      </c>
      <c r="F705" s="2">
        <v>3.2370000000000001</v>
      </c>
      <c r="G705" s="2" t="str">
        <f>Table1_1[[#This Row],[Country Name]]&amp;"|"&amp;Table1_1[[#This Row],[Series Name]]&amp;"|"&amp;Table1_1[[#This Row],[Years]]</f>
        <v>Indonesia|Unemployment, total (% of total labor force) (modeled ILO estimate)|2025</v>
      </c>
    </row>
    <row r="706" spans="1:7" x14ac:dyDescent="0.3">
      <c r="A706" s="2" t="s">
        <v>102</v>
      </c>
      <c r="B706" s="2" t="s">
        <v>143</v>
      </c>
      <c r="C706" s="2" t="s">
        <v>34</v>
      </c>
      <c r="D706" s="2" t="s">
        <v>17</v>
      </c>
      <c r="E706" s="2" t="s">
        <v>152</v>
      </c>
      <c r="F706" s="2">
        <v>13.25166666666666</v>
      </c>
      <c r="G706" s="2" t="str">
        <f>Table1_1[[#This Row],[Country Name]]&amp;"|"&amp;Table1_1[[#This Row],[Series Name]]&amp;"|"&amp;Table1_1[[#This Row],[Years]]</f>
        <v>Indonesia|Lending interest rate (%)|2010</v>
      </c>
    </row>
    <row r="707" spans="1:7" x14ac:dyDescent="0.3">
      <c r="A707" s="2" t="s">
        <v>102</v>
      </c>
      <c r="B707" s="2" t="s">
        <v>143</v>
      </c>
      <c r="C707" s="2" t="s">
        <v>34</v>
      </c>
      <c r="D707" s="2" t="s">
        <v>17</v>
      </c>
      <c r="E707" s="2" t="s">
        <v>153</v>
      </c>
      <c r="F707" s="2">
        <v>12.40333333333334</v>
      </c>
      <c r="G707" s="2" t="str">
        <f>Table1_1[[#This Row],[Country Name]]&amp;"|"&amp;Table1_1[[#This Row],[Series Name]]&amp;"|"&amp;Table1_1[[#This Row],[Years]]</f>
        <v>Indonesia|Lending interest rate (%)|2011</v>
      </c>
    </row>
    <row r="708" spans="1:7" x14ac:dyDescent="0.3">
      <c r="A708" s="2" t="s">
        <v>102</v>
      </c>
      <c r="B708" s="2" t="s">
        <v>143</v>
      </c>
      <c r="C708" s="2" t="s">
        <v>34</v>
      </c>
      <c r="D708" s="2" t="s">
        <v>17</v>
      </c>
      <c r="E708" s="2" t="s">
        <v>154</v>
      </c>
      <c r="F708" s="2">
        <v>11.795</v>
      </c>
      <c r="G708" s="2" t="str">
        <f>Table1_1[[#This Row],[Country Name]]&amp;"|"&amp;Table1_1[[#This Row],[Series Name]]&amp;"|"&amp;Table1_1[[#This Row],[Years]]</f>
        <v>Indonesia|Lending interest rate (%)|2012</v>
      </c>
    </row>
    <row r="709" spans="1:7" x14ac:dyDescent="0.3">
      <c r="A709" s="2" t="s">
        <v>102</v>
      </c>
      <c r="B709" s="2" t="s">
        <v>143</v>
      </c>
      <c r="C709" s="2" t="s">
        <v>34</v>
      </c>
      <c r="D709" s="2" t="s">
        <v>17</v>
      </c>
      <c r="E709" s="2" t="s">
        <v>155</v>
      </c>
      <c r="F709" s="2">
        <v>11.657500000000001</v>
      </c>
      <c r="G709" s="2" t="str">
        <f>Table1_1[[#This Row],[Country Name]]&amp;"|"&amp;Table1_1[[#This Row],[Series Name]]&amp;"|"&amp;Table1_1[[#This Row],[Years]]</f>
        <v>Indonesia|Lending interest rate (%)|2013</v>
      </c>
    </row>
    <row r="710" spans="1:7" x14ac:dyDescent="0.3">
      <c r="A710" s="2" t="s">
        <v>102</v>
      </c>
      <c r="B710" s="2" t="s">
        <v>143</v>
      </c>
      <c r="C710" s="2" t="s">
        <v>34</v>
      </c>
      <c r="D710" s="2" t="s">
        <v>17</v>
      </c>
      <c r="E710" s="2" t="s">
        <v>156</v>
      </c>
      <c r="F710" s="2">
        <v>12.605</v>
      </c>
      <c r="G710" s="2" t="str">
        <f>Table1_1[[#This Row],[Country Name]]&amp;"|"&amp;Table1_1[[#This Row],[Series Name]]&amp;"|"&amp;Table1_1[[#This Row],[Years]]</f>
        <v>Indonesia|Lending interest rate (%)|2014</v>
      </c>
    </row>
    <row r="711" spans="1:7" x14ac:dyDescent="0.3">
      <c r="A711" s="2" t="s">
        <v>102</v>
      </c>
      <c r="B711" s="2" t="s">
        <v>143</v>
      </c>
      <c r="C711" s="2" t="s">
        <v>34</v>
      </c>
      <c r="D711" s="2" t="s">
        <v>17</v>
      </c>
      <c r="E711" s="2" t="s">
        <v>157</v>
      </c>
      <c r="F711" s="2">
        <v>12.6625</v>
      </c>
      <c r="G711" s="2" t="str">
        <f>Table1_1[[#This Row],[Country Name]]&amp;"|"&amp;Table1_1[[#This Row],[Series Name]]&amp;"|"&amp;Table1_1[[#This Row],[Years]]</f>
        <v>Indonesia|Lending interest rate (%)|2015</v>
      </c>
    </row>
    <row r="712" spans="1:7" x14ac:dyDescent="0.3">
      <c r="A712" s="2" t="s">
        <v>102</v>
      </c>
      <c r="B712" s="2" t="s">
        <v>143</v>
      </c>
      <c r="C712" s="2" t="s">
        <v>34</v>
      </c>
      <c r="D712" s="2" t="s">
        <v>17</v>
      </c>
      <c r="E712" s="2" t="s">
        <v>158</v>
      </c>
      <c r="F712" s="2">
        <v>11.888333333333341</v>
      </c>
      <c r="G712" s="2" t="str">
        <f>Table1_1[[#This Row],[Country Name]]&amp;"|"&amp;Table1_1[[#This Row],[Series Name]]&amp;"|"&amp;Table1_1[[#This Row],[Years]]</f>
        <v>Indonesia|Lending interest rate (%)|2016</v>
      </c>
    </row>
    <row r="713" spans="1:7" x14ac:dyDescent="0.3">
      <c r="A713" s="2" t="s">
        <v>102</v>
      </c>
      <c r="B713" s="2" t="s">
        <v>143</v>
      </c>
      <c r="C713" s="2" t="s">
        <v>34</v>
      </c>
      <c r="D713" s="2" t="s">
        <v>17</v>
      </c>
      <c r="E713" s="2" t="s">
        <v>159</v>
      </c>
      <c r="F713" s="2">
        <v>11.073333333333331</v>
      </c>
      <c r="G713" s="2" t="str">
        <f>Table1_1[[#This Row],[Country Name]]&amp;"|"&amp;Table1_1[[#This Row],[Series Name]]&amp;"|"&amp;Table1_1[[#This Row],[Years]]</f>
        <v>Indonesia|Lending interest rate (%)|2017</v>
      </c>
    </row>
    <row r="714" spans="1:7" x14ac:dyDescent="0.3">
      <c r="A714" s="2" t="s">
        <v>102</v>
      </c>
      <c r="B714" s="2" t="s">
        <v>143</v>
      </c>
      <c r="C714" s="2" t="s">
        <v>34</v>
      </c>
      <c r="D714" s="2" t="s">
        <v>17</v>
      </c>
      <c r="E714" s="2" t="s">
        <v>160</v>
      </c>
      <c r="F714" s="2">
        <v>10.536666666666671</v>
      </c>
      <c r="G714" s="2" t="str">
        <f>Table1_1[[#This Row],[Country Name]]&amp;"|"&amp;Table1_1[[#This Row],[Series Name]]&amp;"|"&amp;Table1_1[[#This Row],[Years]]</f>
        <v>Indonesia|Lending interest rate (%)|2018</v>
      </c>
    </row>
    <row r="715" spans="1:7" x14ac:dyDescent="0.3">
      <c r="A715" s="2" t="s">
        <v>102</v>
      </c>
      <c r="B715" s="2" t="s">
        <v>143</v>
      </c>
      <c r="C715" s="2" t="s">
        <v>34</v>
      </c>
      <c r="D715" s="2" t="s">
        <v>17</v>
      </c>
      <c r="E715" s="2" t="s">
        <v>161</v>
      </c>
      <c r="F715" s="2">
        <v>10.36583333333334</v>
      </c>
      <c r="G715" s="2" t="str">
        <f>Table1_1[[#This Row],[Country Name]]&amp;"|"&amp;Table1_1[[#This Row],[Series Name]]&amp;"|"&amp;Table1_1[[#This Row],[Years]]</f>
        <v>Indonesia|Lending interest rate (%)|2019</v>
      </c>
    </row>
    <row r="716" spans="1:7" x14ac:dyDescent="0.3">
      <c r="A716" s="2" t="s">
        <v>102</v>
      </c>
      <c r="B716" s="2" t="s">
        <v>143</v>
      </c>
      <c r="C716" s="2" t="s">
        <v>34</v>
      </c>
      <c r="D716" s="2" t="s">
        <v>17</v>
      </c>
      <c r="E716" s="2" t="s">
        <v>162</v>
      </c>
      <c r="F716" s="2">
        <v>9.5441666666666674</v>
      </c>
      <c r="G716" s="2" t="str">
        <f>Table1_1[[#This Row],[Country Name]]&amp;"|"&amp;Table1_1[[#This Row],[Series Name]]&amp;"|"&amp;Table1_1[[#This Row],[Years]]</f>
        <v>Indonesia|Lending interest rate (%)|2020</v>
      </c>
    </row>
    <row r="717" spans="1:7" x14ac:dyDescent="0.3">
      <c r="A717" s="2" t="s">
        <v>102</v>
      </c>
      <c r="B717" s="2" t="s">
        <v>143</v>
      </c>
      <c r="C717" s="2" t="s">
        <v>34</v>
      </c>
      <c r="D717" s="2" t="s">
        <v>17</v>
      </c>
      <c r="E717" s="2" t="s">
        <v>163</v>
      </c>
      <c r="F717" s="2">
        <v>8.9224999999999994</v>
      </c>
      <c r="G717" s="2" t="str">
        <f>Table1_1[[#This Row],[Country Name]]&amp;"|"&amp;Table1_1[[#This Row],[Series Name]]&amp;"|"&amp;Table1_1[[#This Row],[Years]]</f>
        <v>Indonesia|Lending interest rate (%)|2021</v>
      </c>
    </row>
    <row r="718" spans="1:7" x14ac:dyDescent="0.3">
      <c r="A718" s="2" t="s">
        <v>102</v>
      </c>
      <c r="B718" s="2" t="s">
        <v>143</v>
      </c>
      <c r="C718" s="2" t="s">
        <v>34</v>
      </c>
      <c r="D718" s="2" t="s">
        <v>17</v>
      </c>
      <c r="E718" s="2" t="s">
        <v>164</v>
      </c>
      <c r="F718" s="2">
        <v>8.5199999999999978</v>
      </c>
      <c r="G718" s="2" t="str">
        <f>Table1_1[[#This Row],[Country Name]]&amp;"|"&amp;Table1_1[[#This Row],[Series Name]]&amp;"|"&amp;Table1_1[[#This Row],[Years]]</f>
        <v>Indonesia|Lending interest rate (%)|2022</v>
      </c>
    </row>
    <row r="719" spans="1:7" x14ac:dyDescent="0.3">
      <c r="A719" s="2" t="s">
        <v>102</v>
      </c>
      <c r="B719" s="2" t="s">
        <v>143</v>
      </c>
      <c r="C719" s="2" t="s">
        <v>34</v>
      </c>
      <c r="D719" s="2" t="s">
        <v>17</v>
      </c>
      <c r="E719" s="2" t="s">
        <v>165</v>
      </c>
      <c r="F719" s="2">
        <v>8.9266666666666676</v>
      </c>
      <c r="G719" s="2" t="str">
        <f>Table1_1[[#This Row],[Country Name]]&amp;"|"&amp;Table1_1[[#This Row],[Series Name]]&amp;"|"&amp;Table1_1[[#This Row],[Years]]</f>
        <v>Indonesia|Lending interest rate (%)|2023</v>
      </c>
    </row>
    <row r="720" spans="1:7" x14ac:dyDescent="0.3">
      <c r="A720" s="2" t="s">
        <v>102</v>
      </c>
      <c r="B720" s="2" t="s">
        <v>143</v>
      </c>
      <c r="C720" s="2" t="s">
        <v>34</v>
      </c>
      <c r="D720" s="2" t="s">
        <v>17</v>
      </c>
      <c r="E720" s="2" t="s">
        <v>166</v>
      </c>
      <c r="F720" s="2">
        <v>8.795687849271582</v>
      </c>
      <c r="G720" s="2" t="str">
        <f>Table1_1[[#This Row],[Country Name]]&amp;"|"&amp;Table1_1[[#This Row],[Series Name]]&amp;"|"&amp;Table1_1[[#This Row],[Years]]</f>
        <v>Indonesia|Lending interest rate (%)|2024</v>
      </c>
    </row>
    <row r="721" spans="1:7" x14ac:dyDescent="0.3">
      <c r="A721" s="2" t="s">
        <v>102</v>
      </c>
      <c r="B721" s="2" t="s">
        <v>143</v>
      </c>
      <c r="C721" s="2" t="s">
        <v>34</v>
      </c>
      <c r="D721" s="2" t="s">
        <v>17</v>
      </c>
      <c r="E721" s="2" t="s">
        <v>167</v>
      </c>
      <c r="F721" s="2">
        <v>8.5015832315901658</v>
      </c>
      <c r="G721" s="2" t="str">
        <f>Table1_1[[#This Row],[Country Name]]&amp;"|"&amp;Table1_1[[#This Row],[Series Name]]&amp;"|"&amp;Table1_1[[#This Row],[Years]]</f>
        <v>Indonesia|Lending interest rate (%)|2025</v>
      </c>
    </row>
    <row r="722" spans="1:7" x14ac:dyDescent="0.3">
      <c r="A722" s="2" t="s">
        <v>102</v>
      </c>
      <c r="B722" s="2" t="s">
        <v>143</v>
      </c>
      <c r="C722" s="2" t="s">
        <v>83</v>
      </c>
      <c r="D722" s="2" t="s">
        <v>72</v>
      </c>
      <c r="E722" s="2" t="s">
        <v>152</v>
      </c>
      <c r="F722" s="2">
        <v>9090.4333333333325</v>
      </c>
      <c r="G722" s="2" t="str">
        <f>Table1_1[[#This Row],[Country Name]]&amp;"|"&amp;Table1_1[[#This Row],[Series Name]]&amp;"|"&amp;Table1_1[[#This Row],[Years]]</f>
        <v>Indonesia|Official exchange rate (LCU per US$, period average)|2010</v>
      </c>
    </row>
    <row r="723" spans="1:7" x14ac:dyDescent="0.3">
      <c r="A723" s="2" t="s">
        <v>102</v>
      </c>
      <c r="B723" s="2" t="s">
        <v>143</v>
      </c>
      <c r="C723" s="2" t="s">
        <v>83</v>
      </c>
      <c r="D723" s="2" t="s">
        <v>72</v>
      </c>
      <c r="E723" s="2" t="s">
        <v>153</v>
      </c>
      <c r="F723" s="2">
        <v>8770.4333333333325</v>
      </c>
      <c r="G723" s="2" t="str">
        <f>Table1_1[[#This Row],[Country Name]]&amp;"|"&amp;Table1_1[[#This Row],[Series Name]]&amp;"|"&amp;Table1_1[[#This Row],[Years]]</f>
        <v>Indonesia|Official exchange rate (LCU per US$, period average)|2011</v>
      </c>
    </row>
    <row r="724" spans="1:7" x14ac:dyDescent="0.3">
      <c r="A724" s="2" t="s">
        <v>102</v>
      </c>
      <c r="B724" s="2" t="s">
        <v>143</v>
      </c>
      <c r="C724" s="2" t="s">
        <v>83</v>
      </c>
      <c r="D724" s="2" t="s">
        <v>72</v>
      </c>
      <c r="E724" s="2" t="s">
        <v>154</v>
      </c>
      <c r="F724" s="2">
        <v>9386.6291666666675</v>
      </c>
      <c r="G724" s="2" t="str">
        <f>Table1_1[[#This Row],[Country Name]]&amp;"|"&amp;Table1_1[[#This Row],[Series Name]]&amp;"|"&amp;Table1_1[[#This Row],[Years]]</f>
        <v>Indonesia|Official exchange rate (LCU per US$, period average)|2012</v>
      </c>
    </row>
    <row r="725" spans="1:7" x14ac:dyDescent="0.3">
      <c r="A725" s="2" t="s">
        <v>102</v>
      </c>
      <c r="B725" s="2" t="s">
        <v>143</v>
      </c>
      <c r="C725" s="2" t="s">
        <v>83</v>
      </c>
      <c r="D725" s="2" t="s">
        <v>72</v>
      </c>
      <c r="E725" s="2" t="s">
        <v>155</v>
      </c>
      <c r="F725" s="2">
        <v>10461.24</v>
      </c>
      <c r="G725" s="2" t="str">
        <f>Table1_1[[#This Row],[Country Name]]&amp;"|"&amp;Table1_1[[#This Row],[Series Name]]&amp;"|"&amp;Table1_1[[#This Row],[Years]]</f>
        <v>Indonesia|Official exchange rate (LCU per US$, period average)|2013</v>
      </c>
    </row>
    <row r="726" spans="1:7" x14ac:dyDescent="0.3">
      <c r="A726" s="2" t="s">
        <v>102</v>
      </c>
      <c r="B726" s="2" t="s">
        <v>143</v>
      </c>
      <c r="C726" s="2" t="s">
        <v>83</v>
      </c>
      <c r="D726" s="2" t="s">
        <v>72</v>
      </c>
      <c r="E726" s="2" t="s">
        <v>156</v>
      </c>
      <c r="F726" s="2">
        <v>11865.2112962963</v>
      </c>
      <c r="G726" s="2" t="str">
        <f>Table1_1[[#This Row],[Country Name]]&amp;"|"&amp;Table1_1[[#This Row],[Series Name]]&amp;"|"&amp;Table1_1[[#This Row],[Years]]</f>
        <v>Indonesia|Official exchange rate (LCU per US$, period average)|2014</v>
      </c>
    </row>
    <row r="727" spans="1:7" x14ac:dyDescent="0.3">
      <c r="A727" s="2" t="s">
        <v>102</v>
      </c>
      <c r="B727" s="2" t="s">
        <v>143</v>
      </c>
      <c r="C727" s="2" t="s">
        <v>83</v>
      </c>
      <c r="D727" s="2" t="s">
        <v>72</v>
      </c>
      <c r="E727" s="2" t="s">
        <v>157</v>
      </c>
      <c r="F727" s="2">
        <v>13389.41293650793</v>
      </c>
      <c r="G727" s="2" t="str">
        <f>Table1_1[[#This Row],[Country Name]]&amp;"|"&amp;Table1_1[[#This Row],[Series Name]]&amp;"|"&amp;Table1_1[[#This Row],[Years]]</f>
        <v>Indonesia|Official exchange rate (LCU per US$, period average)|2015</v>
      </c>
    </row>
    <row r="728" spans="1:7" x14ac:dyDescent="0.3">
      <c r="A728" s="2" t="s">
        <v>102</v>
      </c>
      <c r="B728" s="2" t="s">
        <v>143</v>
      </c>
      <c r="C728" s="2" t="s">
        <v>83</v>
      </c>
      <c r="D728" s="2" t="s">
        <v>72</v>
      </c>
      <c r="E728" s="2" t="s">
        <v>158</v>
      </c>
      <c r="F728" s="2">
        <v>13308.32680205416</v>
      </c>
      <c r="G728" s="2" t="str">
        <f>Table1_1[[#This Row],[Country Name]]&amp;"|"&amp;Table1_1[[#This Row],[Series Name]]&amp;"|"&amp;Table1_1[[#This Row],[Years]]</f>
        <v>Indonesia|Official exchange rate (LCU per US$, period average)|2016</v>
      </c>
    </row>
    <row r="729" spans="1:7" x14ac:dyDescent="0.3">
      <c r="A729" s="2" t="s">
        <v>102</v>
      </c>
      <c r="B729" s="2" t="s">
        <v>143</v>
      </c>
      <c r="C729" s="2" t="s">
        <v>83</v>
      </c>
      <c r="D729" s="2" t="s">
        <v>72</v>
      </c>
      <c r="E729" s="2" t="s">
        <v>159</v>
      </c>
      <c r="F729" s="2">
        <v>13380.83387888914</v>
      </c>
      <c r="G729" s="2" t="str">
        <f>Table1_1[[#This Row],[Country Name]]&amp;"|"&amp;Table1_1[[#This Row],[Series Name]]&amp;"|"&amp;Table1_1[[#This Row],[Years]]</f>
        <v>Indonesia|Official exchange rate (LCU per US$, period average)|2017</v>
      </c>
    </row>
    <row r="730" spans="1:7" x14ac:dyDescent="0.3">
      <c r="A730" s="2" t="s">
        <v>102</v>
      </c>
      <c r="B730" s="2" t="s">
        <v>143</v>
      </c>
      <c r="C730" s="2" t="s">
        <v>83</v>
      </c>
      <c r="D730" s="2" t="s">
        <v>72</v>
      </c>
      <c r="E730" s="2" t="s">
        <v>160</v>
      </c>
      <c r="F730" s="2">
        <v>14236.93877348179</v>
      </c>
      <c r="G730" s="2" t="str">
        <f>Table1_1[[#This Row],[Country Name]]&amp;"|"&amp;Table1_1[[#This Row],[Series Name]]&amp;"|"&amp;Table1_1[[#This Row],[Years]]</f>
        <v>Indonesia|Official exchange rate (LCU per US$, period average)|2018</v>
      </c>
    </row>
    <row r="731" spans="1:7" x14ac:dyDescent="0.3">
      <c r="A731" s="2" t="s">
        <v>102</v>
      </c>
      <c r="B731" s="2" t="s">
        <v>143</v>
      </c>
      <c r="C731" s="2" t="s">
        <v>83</v>
      </c>
      <c r="D731" s="2" t="s">
        <v>72</v>
      </c>
      <c r="E731" s="2" t="s">
        <v>161</v>
      </c>
      <c r="F731" s="2">
        <v>14147.671360545421</v>
      </c>
      <c r="G731" s="2" t="str">
        <f>Table1_1[[#This Row],[Country Name]]&amp;"|"&amp;Table1_1[[#This Row],[Series Name]]&amp;"|"&amp;Table1_1[[#This Row],[Years]]</f>
        <v>Indonesia|Official exchange rate (LCU per US$, period average)|2019</v>
      </c>
    </row>
    <row r="732" spans="1:7" x14ac:dyDescent="0.3">
      <c r="A732" s="2" t="s">
        <v>102</v>
      </c>
      <c r="B732" s="2" t="s">
        <v>143</v>
      </c>
      <c r="C732" s="2" t="s">
        <v>83</v>
      </c>
      <c r="D732" s="2" t="s">
        <v>72</v>
      </c>
      <c r="E732" s="2" t="s">
        <v>162</v>
      </c>
      <c r="F732" s="2">
        <v>14582.203467817741</v>
      </c>
      <c r="G732" s="2" t="str">
        <f>Table1_1[[#This Row],[Country Name]]&amp;"|"&amp;Table1_1[[#This Row],[Series Name]]&amp;"|"&amp;Table1_1[[#This Row],[Years]]</f>
        <v>Indonesia|Official exchange rate (LCU per US$, period average)|2020</v>
      </c>
    </row>
    <row r="733" spans="1:7" x14ac:dyDescent="0.3">
      <c r="A733" s="2" t="s">
        <v>102</v>
      </c>
      <c r="B733" s="2" t="s">
        <v>143</v>
      </c>
      <c r="C733" s="2" t="s">
        <v>83</v>
      </c>
      <c r="D733" s="2" t="s">
        <v>72</v>
      </c>
      <c r="E733" s="2" t="s">
        <v>163</v>
      </c>
      <c r="F733" s="2">
        <v>14308.143901189689</v>
      </c>
      <c r="G733" s="2" t="str">
        <f>Table1_1[[#This Row],[Country Name]]&amp;"|"&amp;Table1_1[[#This Row],[Series Name]]&amp;"|"&amp;Table1_1[[#This Row],[Years]]</f>
        <v>Indonesia|Official exchange rate (LCU per US$, period average)|2021</v>
      </c>
    </row>
    <row r="734" spans="1:7" x14ac:dyDescent="0.3">
      <c r="A734" s="2" t="s">
        <v>102</v>
      </c>
      <c r="B734" s="2" t="s">
        <v>143</v>
      </c>
      <c r="C734" s="2" t="s">
        <v>83</v>
      </c>
      <c r="D734" s="2" t="s">
        <v>72</v>
      </c>
      <c r="E734" s="2" t="s">
        <v>164</v>
      </c>
      <c r="F734" s="2">
        <v>14849.85393621048</v>
      </c>
      <c r="G734" s="2" t="str">
        <f>Table1_1[[#This Row],[Country Name]]&amp;"|"&amp;Table1_1[[#This Row],[Series Name]]&amp;"|"&amp;Table1_1[[#This Row],[Years]]</f>
        <v>Indonesia|Official exchange rate (LCU per US$, period average)|2022</v>
      </c>
    </row>
    <row r="735" spans="1:7" x14ac:dyDescent="0.3">
      <c r="A735" s="2" t="s">
        <v>102</v>
      </c>
      <c r="B735" s="2" t="s">
        <v>143</v>
      </c>
      <c r="C735" s="2" t="s">
        <v>83</v>
      </c>
      <c r="D735" s="2" t="s">
        <v>72</v>
      </c>
      <c r="E735" s="2" t="s">
        <v>165</v>
      </c>
      <c r="F735" s="2">
        <v>15236.884662050619</v>
      </c>
      <c r="G735" s="2" t="str">
        <f>Table1_1[[#This Row],[Country Name]]&amp;"|"&amp;Table1_1[[#This Row],[Series Name]]&amp;"|"&amp;Table1_1[[#This Row],[Years]]</f>
        <v>Indonesia|Official exchange rate (LCU per US$, period average)|2023</v>
      </c>
    </row>
    <row r="736" spans="1:7" x14ac:dyDescent="0.3">
      <c r="A736" s="2" t="s">
        <v>102</v>
      </c>
      <c r="B736" s="2" t="s">
        <v>143</v>
      </c>
      <c r="C736" s="2" t="s">
        <v>83</v>
      </c>
      <c r="D736" s="2" t="s">
        <v>72</v>
      </c>
      <c r="E736" s="2" t="s">
        <v>166</v>
      </c>
      <c r="F736" s="2">
        <v>15855.44828667106</v>
      </c>
      <c r="G736" s="2" t="str">
        <f>Table1_1[[#This Row],[Country Name]]&amp;"|"&amp;Table1_1[[#This Row],[Series Name]]&amp;"|"&amp;Table1_1[[#This Row],[Years]]</f>
        <v>Indonesia|Official exchange rate (LCU per US$, period average)|2024</v>
      </c>
    </row>
    <row r="737" spans="1:7" x14ac:dyDescent="0.3">
      <c r="A737" s="2" t="s">
        <v>102</v>
      </c>
      <c r="B737" s="2" t="s">
        <v>143</v>
      </c>
      <c r="C737" s="2" t="s">
        <v>83</v>
      </c>
      <c r="D737" s="2" t="s">
        <v>72</v>
      </c>
      <c r="E737" s="2" t="s">
        <v>167</v>
      </c>
      <c r="F737" s="2">
        <v>16477.865179783559</v>
      </c>
      <c r="G737" s="2" t="str">
        <f>Table1_1[[#This Row],[Country Name]]&amp;"|"&amp;Table1_1[[#This Row],[Series Name]]&amp;"|"&amp;Table1_1[[#This Row],[Years]]</f>
        <v>Indonesia|Official exchange rate (LCU per US$, period average)|2025</v>
      </c>
    </row>
    <row r="738" spans="1:7" x14ac:dyDescent="0.3">
      <c r="A738" s="2" t="s">
        <v>102</v>
      </c>
      <c r="B738" s="2" t="s">
        <v>143</v>
      </c>
      <c r="C738" s="2" t="s">
        <v>70</v>
      </c>
      <c r="D738" s="2" t="s">
        <v>147</v>
      </c>
      <c r="E738" s="2" t="s">
        <v>152</v>
      </c>
      <c r="F738" s="2">
        <v>24.299030936640783</v>
      </c>
      <c r="G738" s="2" t="str">
        <f>Table1_1[[#This Row],[Country Name]]&amp;"|"&amp;Table1_1[[#This Row],[Series Name]]&amp;"|"&amp;Table1_1[[#This Row],[Years]]</f>
        <v>Indonesia|Exports of goods and services (% of GDP)|2010</v>
      </c>
    </row>
    <row r="739" spans="1:7" x14ac:dyDescent="0.3">
      <c r="A739" s="2" t="s">
        <v>102</v>
      </c>
      <c r="B739" s="2" t="s">
        <v>143</v>
      </c>
      <c r="C739" s="2" t="s">
        <v>70</v>
      </c>
      <c r="D739" s="2" t="s">
        <v>147</v>
      </c>
      <c r="E739" s="2" t="s">
        <v>153</v>
      </c>
      <c r="F739" s="2">
        <v>26.327353088883598</v>
      </c>
      <c r="G739" s="2" t="str">
        <f>Table1_1[[#This Row],[Country Name]]&amp;"|"&amp;Table1_1[[#This Row],[Series Name]]&amp;"|"&amp;Table1_1[[#This Row],[Years]]</f>
        <v>Indonesia|Exports of goods and services (% of GDP)|2011</v>
      </c>
    </row>
    <row r="740" spans="1:7" x14ac:dyDescent="0.3">
      <c r="A740" s="2" t="s">
        <v>102</v>
      </c>
      <c r="B740" s="2" t="s">
        <v>143</v>
      </c>
      <c r="C740" s="2" t="s">
        <v>70</v>
      </c>
      <c r="D740" s="2" t="s">
        <v>147</v>
      </c>
      <c r="E740" s="2" t="s">
        <v>154</v>
      </c>
      <c r="F740" s="2">
        <v>24.594378788176869</v>
      </c>
      <c r="G740" s="2" t="str">
        <f>Table1_1[[#This Row],[Country Name]]&amp;"|"&amp;Table1_1[[#This Row],[Series Name]]&amp;"|"&amp;Table1_1[[#This Row],[Years]]</f>
        <v>Indonesia|Exports of goods and services (% of GDP)|2012</v>
      </c>
    </row>
    <row r="741" spans="1:7" x14ac:dyDescent="0.3">
      <c r="A741" s="2" t="s">
        <v>102</v>
      </c>
      <c r="B741" s="2" t="s">
        <v>143</v>
      </c>
      <c r="C741" s="2" t="s">
        <v>70</v>
      </c>
      <c r="D741" s="2" t="s">
        <v>147</v>
      </c>
      <c r="E741" s="2" t="s">
        <v>155</v>
      </c>
      <c r="F741" s="2">
        <v>23.92357637936048</v>
      </c>
      <c r="G741" s="2" t="str">
        <f>Table1_1[[#This Row],[Country Name]]&amp;"|"&amp;Table1_1[[#This Row],[Series Name]]&amp;"|"&amp;Table1_1[[#This Row],[Years]]</f>
        <v>Indonesia|Exports of goods and services (% of GDP)|2013</v>
      </c>
    </row>
    <row r="742" spans="1:7" x14ac:dyDescent="0.3">
      <c r="A742" s="2" t="s">
        <v>102</v>
      </c>
      <c r="B742" s="2" t="s">
        <v>143</v>
      </c>
      <c r="C742" s="2" t="s">
        <v>70</v>
      </c>
      <c r="D742" s="2" t="s">
        <v>147</v>
      </c>
      <c r="E742" s="2" t="s">
        <v>156</v>
      </c>
      <c r="F742" s="2">
        <v>23.665984596936681</v>
      </c>
      <c r="G742" s="2" t="str">
        <f>Table1_1[[#This Row],[Country Name]]&amp;"|"&amp;Table1_1[[#This Row],[Series Name]]&amp;"|"&amp;Table1_1[[#This Row],[Years]]</f>
        <v>Indonesia|Exports of goods and services (% of GDP)|2014</v>
      </c>
    </row>
    <row r="743" spans="1:7" x14ac:dyDescent="0.3">
      <c r="A743" s="2" t="s">
        <v>102</v>
      </c>
      <c r="B743" s="2" t="s">
        <v>143</v>
      </c>
      <c r="C743" s="2" t="s">
        <v>70</v>
      </c>
      <c r="D743" s="2" t="s">
        <v>147</v>
      </c>
      <c r="E743" s="2" t="s">
        <v>157</v>
      </c>
      <c r="F743" s="2">
        <v>21.160179259805858</v>
      </c>
      <c r="G743" s="2" t="str">
        <f>Table1_1[[#This Row],[Country Name]]&amp;"|"&amp;Table1_1[[#This Row],[Series Name]]&amp;"|"&amp;Table1_1[[#This Row],[Years]]</f>
        <v>Indonesia|Exports of goods and services (% of GDP)|2015</v>
      </c>
    </row>
    <row r="744" spans="1:7" x14ac:dyDescent="0.3">
      <c r="A744" s="2" t="s">
        <v>102</v>
      </c>
      <c r="B744" s="2" t="s">
        <v>143</v>
      </c>
      <c r="C744" s="2" t="s">
        <v>70</v>
      </c>
      <c r="D744" s="2" t="s">
        <v>147</v>
      </c>
      <c r="E744" s="2" t="s">
        <v>158</v>
      </c>
      <c r="F744" s="2">
        <v>19.088993853666448</v>
      </c>
      <c r="G744" s="2" t="str">
        <f>Table1_1[[#This Row],[Country Name]]&amp;"|"&amp;Table1_1[[#This Row],[Series Name]]&amp;"|"&amp;Table1_1[[#This Row],[Years]]</f>
        <v>Indonesia|Exports of goods and services (% of GDP)|2016</v>
      </c>
    </row>
    <row r="745" spans="1:7" x14ac:dyDescent="0.3">
      <c r="A745" s="2" t="s">
        <v>102</v>
      </c>
      <c r="B745" s="2" t="s">
        <v>143</v>
      </c>
      <c r="C745" s="2" t="s">
        <v>70</v>
      </c>
      <c r="D745" s="2" t="s">
        <v>147</v>
      </c>
      <c r="E745" s="2" t="s">
        <v>159</v>
      </c>
      <c r="F745" s="2">
        <v>20.177304435110599</v>
      </c>
      <c r="G745" s="2" t="str">
        <f>Table1_1[[#This Row],[Country Name]]&amp;"|"&amp;Table1_1[[#This Row],[Series Name]]&amp;"|"&amp;Table1_1[[#This Row],[Years]]</f>
        <v>Indonesia|Exports of goods and services (% of GDP)|2017</v>
      </c>
    </row>
    <row r="746" spans="1:7" x14ac:dyDescent="0.3">
      <c r="A746" s="2" t="s">
        <v>102</v>
      </c>
      <c r="B746" s="2" t="s">
        <v>143</v>
      </c>
      <c r="C746" s="2" t="s">
        <v>70</v>
      </c>
      <c r="D746" s="2" t="s">
        <v>147</v>
      </c>
      <c r="E746" s="2" t="s">
        <v>160</v>
      </c>
      <c r="F746" s="2">
        <v>21.002746497245457</v>
      </c>
      <c r="G746" s="2" t="str">
        <f>Table1_1[[#This Row],[Country Name]]&amp;"|"&amp;Table1_1[[#This Row],[Series Name]]&amp;"|"&amp;Table1_1[[#This Row],[Years]]</f>
        <v>Indonesia|Exports of goods and services (% of GDP)|2018</v>
      </c>
    </row>
    <row r="747" spans="1:7" x14ac:dyDescent="0.3">
      <c r="A747" s="2" t="s">
        <v>102</v>
      </c>
      <c r="B747" s="2" t="s">
        <v>143</v>
      </c>
      <c r="C747" s="2" t="s">
        <v>70</v>
      </c>
      <c r="D747" s="2" t="s">
        <v>147</v>
      </c>
      <c r="E747" s="2" t="s">
        <v>161</v>
      </c>
      <c r="F747" s="2">
        <v>18.591527797088286</v>
      </c>
      <c r="G747" s="2" t="str">
        <f>Table1_1[[#This Row],[Country Name]]&amp;"|"&amp;Table1_1[[#This Row],[Series Name]]&amp;"|"&amp;Table1_1[[#This Row],[Years]]</f>
        <v>Indonesia|Exports of goods and services (% of GDP)|2019</v>
      </c>
    </row>
    <row r="748" spans="1:7" x14ac:dyDescent="0.3">
      <c r="A748" s="2" t="s">
        <v>102</v>
      </c>
      <c r="B748" s="2" t="s">
        <v>143</v>
      </c>
      <c r="C748" s="2" t="s">
        <v>70</v>
      </c>
      <c r="D748" s="2" t="s">
        <v>147</v>
      </c>
      <c r="E748" s="2" t="s">
        <v>162</v>
      </c>
      <c r="F748" s="2">
        <v>17.3311682848923</v>
      </c>
      <c r="G748" s="2" t="str">
        <f>Table1_1[[#This Row],[Country Name]]&amp;"|"&amp;Table1_1[[#This Row],[Series Name]]&amp;"|"&amp;Table1_1[[#This Row],[Years]]</f>
        <v>Indonesia|Exports of goods and services (% of GDP)|2020</v>
      </c>
    </row>
    <row r="749" spans="1:7" x14ac:dyDescent="0.3">
      <c r="A749" s="2" t="s">
        <v>102</v>
      </c>
      <c r="B749" s="2" t="s">
        <v>143</v>
      </c>
      <c r="C749" s="2" t="s">
        <v>70</v>
      </c>
      <c r="D749" s="2" t="s">
        <v>147</v>
      </c>
      <c r="E749" s="2" t="s">
        <v>163</v>
      </c>
      <c r="F749" s="2">
        <v>21.416555639065315</v>
      </c>
      <c r="G749" s="2" t="str">
        <f>Table1_1[[#This Row],[Country Name]]&amp;"|"&amp;Table1_1[[#This Row],[Series Name]]&amp;"|"&amp;Table1_1[[#This Row],[Years]]</f>
        <v>Indonesia|Exports of goods and services (% of GDP)|2021</v>
      </c>
    </row>
    <row r="750" spans="1:7" x14ac:dyDescent="0.3">
      <c r="A750" s="2" t="s">
        <v>102</v>
      </c>
      <c r="B750" s="2" t="s">
        <v>143</v>
      </c>
      <c r="C750" s="2" t="s">
        <v>70</v>
      </c>
      <c r="D750" s="2" t="s">
        <v>147</v>
      </c>
      <c r="E750" s="2" t="s">
        <v>164</v>
      </c>
      <c r="F750" s="2">
        <v>24.502911686283209</v>
      </c>
      <c r="G750" s="2" t="str">
        <f>Table1_1[[#This Row],[Country Name]]&amp;"|"&amp;Table1_1[[#This Row],[Series Name]]&amp;"|"&amp;Table1_1[[#This Row],[Years]]</f>
        <v>Indonesia|Exports of goods and services (% of GDP)|2022</v>
      </c>
    </row>
    <row r="751" spans="1:7" x14ac:dyDescent="0.3">
      <c r="A751" s="2" t="s">
        <v>102</v>
      </c>
      <c r="B751" s="2" t="s">
        <v>143</v>
      </c>
      <c r="C751" s="2" t="s">
        <v>70</v>
      </c>
      <c r="D751" s="2" t="s">
        <v>147</v>
      </c>
      <c r="E751" s="2" t="s">
        <v>165</v>
      </c>
      <c r="F751" s="2">
        <v>21.808563219756198</v>
      </c>
      <c r="G751" s="2" t="str">
        <f>Table1_1[[#This Row],[Country Name]]&amp;"|"&amp;Table1_1[[#This Row],[Series Name]]&amp;"|"&amp;Table1_1[[#This Row],[Years]]</f>
        <v>Indonesia|Exports of goods and services (% of GDP)|2023</v>
      </c>
    </row>
    <row r="752" spans="1:7" x14ac:dyDescent="0.3">
      <c r="A752" s="2" t="s">
        <v>102</v>
      </c>
      <c r="B752" s="2" t="s">
        <v>143</v>
      </c>
      <c r="C752" s="2" t="s">
        <v>70</v>
      </c>
      <c r="D752" s="2" t="s">
        <v>147</v>
      </c>
      <c r="E752" s="2" t="s">
        <v>166</v>
      </c>
      <c r="F752" s="2">
        <v>22.309648770260569</v>
      </c>
      <c r="G752" s="2" t="str">
        <f>Table1_1[[#This Row],[Country Name]]&amp;"|"&amp;Table1_1[[#This Row],[Series Name]]&amp;"|"&amp;Table1_1[[#This Row],[Years]]</f>
        <v>Indonesia|Exports of goods and services (% of GDP)|2024</v>
      </c>
    </row>
    <row r="753" spans="1:7" x14ac:dyDescent="0.3">
      <c r="A753" s="2" t="s">
        <v>102</v>
      </c>
      <c r="B753" s="2" t="s">
        <v>143</v>
      </c>
      <c r="C753" s="2" t="s">
        <v>70</v>
      </c>
      <c r="D753" s="2" t="s">
        <v>147</v>
      </c>
      <c r="E753" s="2" t="s">
        <v>167</v>
      </c>
      <c r="F753" s="2">
        <v>22.846548298785788</v>
      </c>
      <c r="G753" s="2" t="str">
        <f>Table1_1[[#This Row],[Country Name]]&amp;"|"&amp;Table1_1[[#This Row],[Series Name]]&amp;"|"&amp;Table1_1[[#This Row],[Years]]</f>
        <v>Indonesia|Exports of goods and services (% of GDP)|2025</v>
      </c>
    </row>
    <row r="754" spans="1:7" x14ac:dyDescent="0.3">
      <c r="A754" s="2" t="s">
        <v>102</v>
      </c>
      <c r="B754" s="2" t="s">
        <v>143</v>
      </c>
      <c r="C754" s="2" t="s">
        <v>56</v>
      </c>
      <c r="D754" s="2" t="s">
        <v>14</v>
      </c>
      <c r="E754" s="2" t="s">
        <v>152</v>
      </c>
      <c r="F754" s="2">
        <v>22.402242939232924</v>
      </c>
      <c r="G754" s="2" t="str">
        <f>Table1_1[[#This Row],[Country Name]]&amp;"|"&amp;Table1_1[[#This Row],[Series Name]]&amp;"|"&amp;Table1_1[[#This Row],[Years]]</f>
        <v>Indonesia|Imports of goods and services (% of GDP)|2010</v>
      </c>
    </row>
    <row r="755" spans="1:7" x14ac:dyDescent="0.3">
      <c r="A755" s="2" t="s">
        <v>102</v>
      </c>
      <c r="B755" s="2" t="s">
        <v>143</v>
      </c>
      <c r="C755" s="2" t="s">
        <v>56</v>
      </c>
      <c r="D755" s="2" t="s">
        <v>14</v>
      </c>
      <c r="E755" s="2" t="s">
        <v>153</v>
      </c>
      <c r="F755" s="2">
        <v>23.852660095226774</v>
      </c>
      <c r="G755" s="2" t="str">
        <f>Table1_1[[#This Row],[Country Name]]&amp;"|"&amp;Table1_1[[#This Row],[Series Name]]&amp;"|"&amp;Table1_1[[#This Row],[Years]]</f>
        <v>Indonesia|Imports of goods and services (% of GDP)|2011</v>
      </c>
    </row>
    <row r="756" spans="1:7" x14ac:dyDescent="0.3">
      <c r="A756" s="2" t="s">
        <v>102</v>
      </c>
      <c r="B756" s="2" t="s">
        <v>143</v>
      </c>
      <c r="C756" s="2" t="s">
        <v>56</v>
      </c>
      <c r="D756" s="2" t="s">
        <v>14</v>
      </c>
      <c r="E756" s="2" t="s">
        <v>154</v>
      </c>
      <c r="F756" s="2">
        <v>24.988519511085833</v>
      </c>
      <c r="G756" s="2" t="str">
        <f>Table1_1[[#This Row],[Country Name]]&amp;"|"&amp;Table1_1[[#This Row],[Series Name]]&amp;"|"&amp;Table1_1[[#This Row],[Years]]</f>
        <v>Indonesia|Imports of goods and services (% of GDP)|2012</v>
      </c>
    </row>
    <row r="757" spans="1:7" x14ac:dyDescent="0.3">
      <c r="A757" s="2" t="s">
        <v>102</v>
      </c>
      <c r="B757" s="2" t="s">
        <v>143</v>
      </c>
      <c r="C757" s="2" t="s">
        <v>56</v>
      </c>
      <c r="D757" s="2" t="s">
        <v>14</v>
      </c>
      <c r="E757" s="2" t="s">
        <v>155</v>
      </c>
      <c r="F757" s="2">
        <v>24.713796295928798</v>
      </c>
      <c r="G757" s="2" t="str">
        <f>Table1_1[[#This Row],[Country Name]]&amp;"|"&amp;Table1_1[[#This Row],[Series Name]]&amp;"|"&amp;Table1_1[[#This Row],[Years]]</f>
        <v>Indonesia|Imports of goods and services (% of GDP)|2013</v>
      </c>
    </row>
    <row r="758" spans="1:7" x14ac:dyDescent="0.3">
      <c r="A758" s="2" t="s">
        <v>102</v>
      </c>
      <c r="B758" s="2" t="s">
        <v>143</v>
      </c>
      <c r="C758" s="2" t="s">
        <v>56</v>
      </c>
      <c r="D758" s="2" t="s">
        <v>14</v>
      </c>
      <c r="E758" s="2" t="s">
        <v>156</v>
      </c>
      <c r="F758" s="2">
        <v>24.414190988586029</v>
      </c>
      <c r="G758" s="2" t="str">
        <f>Table1_1[[#This Row],[Country Name]]&amp;"|"&amp;Table1_1[[#This Row],[Series Name]]&amp;"|"&amp;Table1_1[[#This Row],[Years]]</f>
        <v>Indonesia|Imports of goods and services (% of GDP)|2014</v>
      </c>
    </row>
    <row r="759" spans="1:7" x14ac:dyDescent="0.3">
      <c r="A759" s="2" t="s">
        <v>102</v>
      </c>
      <c r="B759" s="2" t="s">
        <v>143</v>
      </c>
      <c r="C759" s="2" t="s">
        <v>56</v>
      </c>
      <c r="D759" s="2" t="s">
        <v>14</v>
      </c>
      <c r="E759" s="2" t="s">
        <v>157</v>
      </c>
      <c r="F759" s="2">
        <v>20.777460981723518</v>
      </c>
      <c r="G759" s="2" t="str">
        <f>Table1_1[[#This Row],[Country Name]]&amp;"|"&amp;Table1_1[[#This Row],[Series Name]]&amp;"|"&amp;Table1_1[[#This Row],[Years]]</f>
        <v>Indonesia|Imports of goods and services (% of GDP)|2015</v>
      </c>
    </row>
    <row r="760" spans="1:7" x14ac:dyDescent="0.3">
      <c r="A760" s="2" t="s">
        <v>102</v>
      </c>
      <c r="B760" s="2" t="s">
        <v>143</v>
      </c>
      <c r="C760" s="2" t="s">
        <v>56</v>
      </c>
      <c r="D760" s="2" t="s">
        <v>14</v>
      </c>
      <c r="E760" s="2" t="s">
        <v>158</v>
      </c>
      <c r="F760" s="2">
        <v>18.33234794866538</v>
      </c>
      <c r="G760" s="2" t="str">
        <f>Table1_1[[#This Row],[Country Name]]&amp;"|"&amp;Table1_1[[#This Row],[Series Name]]&amp;"|"&amp;Table1_1[[#This Row],[Years]]</f>
        <v>Indonesia|Imports of goods and services (% of GDP)|2016</v>
      </c>
    </row>
    <row r="761" spans="1:7" x14ac:dyDescent="0.3">
      <c r="A761" s="2" t="s">
        <v>102</v>
      </c>
      <c r="B761" s="2" t="s">
        <v>143</v>
      </c>
      <c r="C761" s="2" t="s">
        <v>56</v>
      </c>
      <c r="D761" s="2" t="s">
        <v>14</v>
      </c>
      <c r="E761" s="2" t="s">
        <v>159</v>
      </c>
      <c r="F761" s="2">
        <v>19.178192635349987</v>
      </c>
      <c r="G761" s="2" t="str">
        <f>Table1_1[[#This Row],[Country Name]]&amp;"|"&amp;Table1_1[[#This Row],[Series Name]]&amp;"|"&amp;Table1_1[[#This Row],[Years]]</f>
        <v>Indonesia|Imports of goods and services (% of GDP)|2017</v>
      </c>
    </row>
    <row r="762" spans="1:7" x14ac:dyDescent="0.3">
      <c r="A762" s="2" t="s">
        <v>102</v>
      </c>
      <c r="B762" s="2" t="s">
        <v>143</v>
      </c>
      <c r="C762" s="2" t="s">
        <v>56</v>
      </c>
      <c r="D762" s="2" t="s">
        <v>14</v>
      </c>
      <c r="E762" s="2" t="s">
        <v>160</v>
      </c>
      <c r="F762" s="2">
        <v>22.071562457954698</v>
      </c>
      <c r="G762" s="2" t="str">
        <f>Table1_1[[#This Row],[Country Name]]&amp;"|"&amp;Table1_1[[#This Row],[Series Name]]&amp;"|"&amp;Table1_1[[#This Row],[Years]]</f>
        <v>Indonesia|Imports of goods and services (% of GDP)|2018</v>
      </c>
    </row>
    <row r="763" spans="1:7" x14ac:dyDescent="0.3">
      <c r="A763" s="2" t="s">
        <v>102</v>
      </c>
      <c r="B763" s="2" t="s">
        <v>143</v>
      </c>
      <c r="C763" s="2" t="s">
        <v>56</v>
      </c>
      <c r="D763" s="2" t="s">
        <v>14</v>
      </c>
      <c r="E763" s="2" t="s">
        <v>161</v>
      </c>
      <c r="F763" s="2">
        <v>19.036249738622523</v>
      </c>
      <c r="G763" s="2" t="str">
        <f>Table1_1[[#This Row],[Country Name]]&amp;"|"&amp;Table1_1[[#This Row],[Series Name]]&amp;"|"&amp;Table1_1[[#This Row],[Years]]</f>
        <v>Indonesia|Imports of goods and services (% of GDP)|2019</v>
      </c>
    </row>
    <row r="764" spans="1:7" x14ac:dyDescent="0.3">
      <c r="A764" s="2" t="s">
        <v>102</v>
      </c>
      <c r="B764" s="2" t="s">
        <v>143</v>
      </c>
      <c r="C764" s="2" t="s">
        <v>56</v>
      </c>
      <c r="D764" s="2" t="s">
        <v>14</v>
      </c>
      <c r="E764" s="2" t="s">
        <v>162</v>
      </c>
      <c r="F764" s="2">
        <v>15.641007115350442</v>
      </c>
      <c r="G764" s="2" t="str">
        <f>Table1_1[[#This Row],[Country Name]]&amp;"|"&amp;Table1_1[[#This Row],[Series Name]]&amp;"|"&amp;Table1_1[[#This Row],[Years]]</f>
        <v>Indonesia|Imports of goods and services (% of GDP)|2020</v>
      </c>
    </row>
    <row r="765" spans="1:7" x14ac:dyDescent="0.3">
      <c r="A765" s="2" t="s">
        <v>102</v>
      </c>
      <c r="B765" s="2" t="s">
        <v>143</v>
      </c>
      <c r="C765" s="2" t="s">
        <v>56</v>
      </c>
      <c r="D765" s="2" t="s">
        <v>14</v>
      </c>
      <c r="E765" s="2" t="s">
        <v>163</v>
      </c>
      <c r="F765" s="2">
        <v>18.788202635901825</v>
      </c>
      <c r="G765" s="2" t="str">
        <f>Table1_1[[#This Row],[Country Name]]&amp;"|"&amp;Table1_1[[#This Row],[Series Name]]&amp;"|"&amp;Table1_1[[#This Row],[Years]]</f>
        <v>Indonesia|Imports of goods and services (% of GDP)|2021</v>
      </c>
    </row>
    <row r="766" spans="1:7" x14ac:dyDescent="0.3">
      <c r="A766" s="2" t="s">
        <v>102</v>
      </c>
      <c r="B766" s="2" t="s">
        <v>143</v>
      </c>
      <c r="C766" s="2" t="s">
        <v>56</v>
      </c>
      <c r="D766" s="2" t="s">
        <v>14</v>
      </c>
      <c r="E766" s="2" t="s">
        <v>164</v>
      </c>
      <c r="F766" s="2">
        <v>20.961758509662111</v>
      </c>
      <c r="G766" s="2" t="str">
        <f>Table1_1[[#This Row],[Country Name]]&amp;"|"&amp;Table1_1[[#This Row],[Series Name]]&amp;"|"&amp;Table1_1[[#This Row],[Years]]</f>
        <v>Indonesia|Imports of goods and services (% of GDP)|2022</v>
      </c>
    </row>
    <row r="767" spans="1:7" x14ac:dyDescent="0.3">
      <c r="A767" s="2" t="s">
        <v>102</v>
      </c>
      <c r="B767" s="2" t="s">
        <v>143</v>
      </c>
      <c r="C767" s="2" t="s">
        <v>56</v>
      </c>
      <c r="D767" s="2" t="s">
        <v>14</v>
      </c>
      <c r="E767" s="2" t="s">
        <v>165</v>
      </c>
      <c r="F767" s="2">
        <v>19.651913324967101</v>
      </c>
      <c r="G767" s="2" t="str">
        <f>Table1_1[[#This Row],[Country Name]]&amp;"|"&amp;Table1_1[[#This Row],[Series Name]]&amp;"|"&amp;Table1_1[[#This Row],[Years]]</f>
        <v>Indonesia|Imports of goods and services (% of GDP)|2023</v>
      </c>
    </row>
    <row r="768" spans="1:7" x14ac:dyDescent="0.3">
      <c r="A768" s="2" t="s">
        <v>102</v>
      </c>
      <c r="B768" s="2" t="s">
        <v>143</v>
      </c>
      <c r="C768" s="2" t="s">
        <v>56</v>
      </c>
      <c r="D768" s="2" t="s">
        <v>14</v>
      </c>
      <c r="E768" s="2" t="s">
        <v>166</v>
      </c>
      <c r="F768" s="2">
        <v>20.500289100561439</v>
      </c>
      <c r="G768" s="2" t="str">
        <f>Table1_1[[#This Row],[Country Name]]&amp;"|"&amp;Table1_1[[#This Row],[Series Name]]&amp;"|"&amp;Table1_1[[#This Row],[Years]]</f>
        <v>Indonesia|Imports of goods and services (% of GDP)|2024</v>
      </c>
    </row>
    <row r="769" spans="1:7" x14ac:dyDescent="0.3">
      <c r="A769" s="2" t="s">
        <v>102</v>
      </c>
      <c r="B769" s="2" t="s">
        <v>143</v>
      </c>
      <c r="C769" s="2" t="s">
        <v>56</v>
      </c>
      <c r="D769" s="2" t="s">
        <v>14</v>
      </c>
      <c r="E769" s="2" t="s">
        <v>167</v>
      </c>
      <c r="F769" s="2">
        <v>20.544658752334634</v>
      </c>
      <c r="G769" s="2" t="str">
        <f>Table1_1[[#This Row],[Country Name]]&amp;"|"&amp;Table1_1[[#This Row],[Series Name]]&amp;"|"&amp;Table1_1[[#This Row],[Years]]</f>
        <v>Indonesia|Imports of goods and services (% of GDP)|2025</v>
      </c>
    </row>
    <row r="770" spans="1:7" x14ac:dyDescent="0.3">
      <c r="A770" s="2" t="s">
        <v>102</v>
      </c>
      <c r="B770" s="2" t="s">
        <v>143</v>
      </c>
      <c r="C770" s="2" t="s">
        <v>13</v>
      </c>
      <c r="D770" s="2" t="s">
        <v>123</v>
      </c>
      <c r="E770" s="2" t="s">
        <v>152</v>
      </c>
      <c r="F770" s="2">
        <v>15292009410.509899</v>
      </c>
      <c r="G770" s="2" t="str">
        <f>Table1_1[[#This Row],[Country Name]]&amp;"|"&amp;Table1_1[[#This Row],[Series Name]]&amp;"|"&amp;Table1_1[[#This Row],[Years]]</f>
        <v>Indonesia|Foreign direct investment, net inflows (BoP, current US$)|2010</v>
      </c>
    </row>
    <row r="771" spans="1:7" x14ac:dyDescent="0.3">
      <c r="A771" s="2" t="s">
        <v>102</v>
      </c>
      <c r="B771" s="2" t="s">
        <v>143</v>
      </c>
      <c r="C771" s="2" t="s">
        <v>13</v>
      </c>
      <c r="D771" s="2" t="s">
        <v>123</v>
      </c>
      <c r="E771" s="2" t="s">
        <v>153</v>
      </c>
      <c r="F771" s="2">
        <v>20564938226.718498</v>
      </c>
      <c r="G771" s="2" t="str">
        <f>Table1_1[[#This Row],[Country Name]]&amp;"|"&amp;Table1_1[[#This Row],[Series Name]]&amp;"|"&amp;Table1_1[[#This Row],[Years]]</f>
        <v>Indonesia|Foreign direct investment, net inflows (BoP, current US$)|2011</v>
      </c>
    </row>
    <row r="772" spans="1:7" x14ac:dyDescent="0.3">
      <c r="A772" s="2" t="s">
        <v>102</v>
      </c>
      <c r="B772" s="2" t="s">
        <v>143</v>
      </c>
      <c r="C772" s="2" t="s">
        <v>13</v>
      </c>
      <c r="D772" s="2" t="s">
        <v>123</v>
      </c>
      <c r="E772" s="2" t="s">
        <v>154</v>
      </c>
      <c r="F772" s="2">
        <v>21200778607.872601</v>
      </c>
      <c r="G772" s="2" t="str">
        <f>Table1_1[[#This Row],[Country Name]]&amp;"|"&amp;Table1_1[[#This Row],[Series Name]]&amp;"|"&amp;Table1_1[[#This Row],[Years]]</f>
        <v>Indonesia|Foreign direct investment, net inflows (BoP, current US$)|2012</v>
      </c>
    </row>
    <row r="773" spans="1:7" x14ac:dyDescent="0.3">
      <c r="A773" s="2" t="s">
        <v>102</v>
      </c>
      <c r="B773" s="2" t="s">
        <v>143</v>
      </c>
      <c r="C773" s="2" t="s">
        <v>13</v>
      </c>
      <c r="D773" s="2" t="s">
        <v>123</v>
      </c>
      <c r="E773" s="2" t="s">
        <v>155</v>
      </c>
      <c r="F773" s="2">
        <v>23281742361.530499</v>
      </c>
      <c r="G773" s="2" t="str">
        <f>Table1_1[[#This Row],[Country Name]]&amp;"|"&amp;Table1_1[[#This Row],[Series Name]]&amp;"|"&amp;Table1_1[[#This Row],[Years]]</f>
        <v>Indonesia|Foreign direct investment, net inflows (BoP, current US$)|2013</v>
      </c>
    </row>
    <row r="774" spans="1:7" x14ac:dyDescent="0.3">
      <c r="A774" s="2" t="s">
        <v>102</v>
      </c>
      <c r="B774" s="2" t="s">
        <v>143</v>
      </c>
      <c r="C774" s="2" t="s">
        <v>13</v>
      </c>
      <c r="D774" s="2" t="s">
        <v>123</v>
      </c>
      <c r="E774" s="2" t="s">
        <v>156</v>
      </c>
      <c r="F774" s="2">
        <v>25120732059.513401</v>
      </c>
      <c r="G774" s="2" t="str">
        <f>Table1_1[[#This Row],[Country Name]]&amp;"|"&amp;Table1_1[[#This Row],[Series Name]]&amp;"|"&amp;Table1_1[[#This Row],[Years]]</f>
        <v>Indonesia|Foreign direct investment, net inflows (BoP, current US$)|2014</v>
      </c>
    </row>
    <row r="775" spans="1:7" x14ac:dyDescent="0.3">
      <c r="A775" s="2" t="s">
        <v>102</v>
      </c>
      <c r="B775" s="2" t="s">
        <v>143</v>
      </c>
      <c r="C775" s="2" t="s">
        <v>13</v>
      </c>
      <c r="D775" s="2" t="s">
        <v>123</v>
      </c>
      <c r="E775" s="2" t="s">
        <v>157</v>
      </c>
      <c r="F775" s="2">
        <v>19779127976.9576</v>
      </c>
      <c r="G775" s="2" t="str">
        <f>Table1_1[[#This Row],[Country Name]]&amp;"|"&amp;Table1_1[[#This Row],[Series Name]]&amp;"|"&amp;Table1_1[[#This Row],[Years]]</f>
        <v>Indonesia|Foreign direct investment, net inflows (BoP, current US$)|2015</v>
      </c>
    </row>
    <row r="776" spans="1:7" x14ac:dyDescent="0.3">
      <c r="A776" s="2" t="s">
        <v>102</v>
      </c>
      <c r="B776" s="2" t="s">
        <v>143</v>
      </c>
      <c r="C776" s="2" t="s">
        <v>13</v>
      </c>
      <c r="D776" s="2" t="s">
        <v>123</v>
      </c>
      <c r="E776" s="2" t="s">
        <v>158</v>
      </c>
      <c r="F776" s="2">
        <v>4541713739.23769</v>
      </c>
      <c r="G776" s="2" t="str">
        <f>Table1_1[[#This Row],[Country Name]]&amp;"|"&amp;Table1_1[[#This Row],[Series Name]]&amp;"|"&amp;Table1_1[[#This Row],[Years]]</f>
        <v>Indonesia|Foreign direct investment, net inflows (BoP, current US$)|2016</v>
      </c>
    </row>
    <row r="777" spans="1:7" x14ac:dyDescent="0.3">
      <c r="A777" s="2" t="s">
        <v>102</v>
      </c>
      <c r="B777" s="2" t="s">
        <v>143</v>
      </c>
      <c r="C777" s="2" t="s">
        <v>13</v>
      </c>
      <c r="D777" s="2" t="s">
        <v>123</v>
      </c>
      <c r="E777" s="2" t="s">
        <v>159</v>
      </c>
      <c r="F777" s="2">
        <v>20510310832.446899</v>
      </c>
      <c r="G777" s="2" t="str">
        <f>Table1_1[[#This Row],[Country Name]]&amp;"|"&amp;Table1_1[[#This Row],[Series Name]]&amp;"|"&amp;Table1_1[[#This Row],[Years]]</f>
        <v>Indonesia|Foreign direct investment, net inflows (BoP, current US$)|2017</v>
      </c>
    </row>
    <row r="778" spans="1:7" x14ac:dyDescent="0.3">
      <c r="A778" s="2" t="s">
        <v>102</v>
      </c>
      <c r="B778" s="2" t="s">
        <v>143</v>
      </c>
      <c r="C778" s="2" t="s">
        <v>13</v>
      </c>
      <c r="D778" s="2" t="s">
        <v>123</v>
      </c>
      <c r="E778" s="2" t="s">
        <v>160</v>
      </c>
      <c r="F778" s="2">
        <v>18909826043.510502</v>
      </c>
      <c r="G778" s="2" t="str">
        <f>Table1_1[[#This Row],[Country Name]]&amp;"|"&amp;Table1_1[[#This Row],[Series Name]]&amp;"|"&amp;Table1_1[[#This Row],[Years]]</f>
        <v>Indonesia|Foreign direct investment, net inflows (BoP, current US$)|2018</v>
      </c>
    </row>
    <row r="779" spans="1:7" x14ac:dyDescent="0.3">
      <c r="A779" s="2" t="s">
        <v>102</v>
      </c>
      <c r="B779" s="2" t="s">
        <v>143</v>
      </c>
      <c r="C779" s="2" t="s">
        <v>13</v>
      </c>
      <c r="D779" s="2" t="s">
        <v>123</v>
      </c>
      <c r="E779" s="2" t="s">
        <v>161</v>
      </c>
      <c r="F779" s="2">
        <v>24993551748.0098</v>
      </c>
      <c r="G779" s="2" t="str">
        <f>Table1_1[[#This Row],[Country Name]]&amp;"|"&amp;Table1_1[[#This Row],[Series Name]]&amp;"|"&amp;Table1_1[[#This Row],[Years]]</f>
        <v>Indonesia|Foreign direct investment, net inflows (BoP, current US$)|2019</v>
      </c>
    </row>
    <row r="780" spans="1:7" x14ac:dyDescent="0.3">
      <c r="A780" s="2" t="s">
        <v>102</v>
      </c>
      <c r="B780" s="2" t="s">
        <v>143</v>
      </c>
      <c r="C780" s="2" t="s">
        <v>13</v>
      </c>
      <c r="D780" s="2" t="s">
        <v>123</v>
      </c>
      <c r="E780" s="2" t="s">
        <v>162</v>
      </c>
      <c r="F780" s="2">
        <v>19175077747.807701</v>
      </c>
      <c r="G780" s="2" t="str">
        <f>Table1_1[[#This Row],[Country Name]]&amp;"|"&amp;Table1_1[[#This Row],[Series Name]]&amp;"|"&amp;Table1_1[[#This Row],[Years]]</f>
        <v>Indonesia|Foreign direct investment, net inflows (BoP, current US$)|2020</v>
      </c>
    </row>
    <row r="781" spans="1:7" x14ac:dyDescent="0.3">
      <c r="A781" s="2" t="s">
        <v>102</v>
      </c>
      <c r="B781" s="2" t="s">
        <v>143</v>
      </c>
      <c r="C781" s="2" t="s">
        <v>13</v>
      </c>
      <c r="D781" s="2" t="s">
        <v>123</v>
      </c>
      <c r="E781" s="2" t="s">
        <v>163</v>
      </c>
      <c r="F781" s="2">
        <v>21213080329.8582</v>
      </c>
      <c r="G781" s="2" t="str">
        <f>Table1_1[[#This Row],[Country Name]]&amp;"|"&amp;Table1_1[[#This Row],[Series Name]]&amp;"|"&amp;Table1_1[[#This Row],[Years]]</f>
        <v>Indonesia|Foreign direct investment, net inflows (BoP, current US$)|2021</v>
      </c>
    </row>
    <row r="782" spans="1:7" x14ac:dyDescent="0.3">
      <c r="A782" s="2" t="s">
        <v>102</v>
      </c>
      <c r="B782" s="2" t="s">
        <v>143</v>
      </c>
      <c r="C782" s="2" t="s">
        <v>13</v>
      </c>
      <c r="D782" s="2" t="s">
        <v>123</v>
      </c>
      <c r="E782" s="2" t="s">
        <v>164</v>
      </c>
      <c r="F782" s="2">
        <v>24702029705.092602</v>
      </c>
      <c r="G782" s="2" t="str">
        <f>Table1_1[[#This Row],[Country Name]]&amp;"|"&amp;Table1_1[[#This Row],[Series Name]]&amp;"|"&amp;Table1_1[[#This Row],[Years]]</f>
        <v>Indonesia|Foreign direct investment, net inflows (BoP, current US$)|2022</v>
      </c>
    </row>
    <row r="783" spans="1:7" x14ac:dyDescent="0.3">
      <c r="A783" s="2" t="s">
        <v>102</v>
      </c>
      <c r="B783" s="2" t="s">
        <v>143</v>
      </c>
      <c r="C783" s="2" t="s">
        <v>13</v>
      </c>
      <c r="D783" s="2" t="s">
        <v>123</v>
      </c>
      <c r="E783" s="2" t="s">
        <v>165</v>
      </c>
      <c r="F783" s="2">
        <v>21543358781.382801</v>
      </c>
      <c r="G783" s="2" t="str">
        <f>Table1_1[[#This Row],[Country Name]]&amp;"|"&amp;Table1_1[[#This Row],[Series Name]]&amp;"|"&amp;Table1_1[[#This Row],[Years]]</f>
        <v>Indonesia|Foreign direct investment, net inflows (BoP, current US$)|2023</v>
      </c>
    </row>
    <row r="784" spans="1:7" x14ac:dyDescent="0.3">
      <c r="A784" s="2" t="s">
        <v>102</v>
      </c>
      <c r="B784" s="2" t="s">
        <v>143</v>
      </c>
      <c r="C784" s="2" t="s">
        <v>13</v>
      </c>
      <c r="D784" s="2" t="s">
        <v>123</v>
      </c>
      <c r="E784" s="2" t="s">
        <v>166</v>
      </c>
      <c r="F784" s="2">
        <v>24275445280.2272</v>
      </c>
      <c r="G784" s="2" t="str">
        <f>Table1_1[[#This Row],[Country Name]]&amp;"|"&amp;Table1_1[[#This Row],[Series Name]]&amp;"|"&amp;Table1_1[[#This Row],[Years]]</f>
        <v>Indonesia|Foreign direct investment, net inflows (BoP, current US$)|2024</v>
      </c>
    </row>
    <row r="785" spans="1:7" x14ac:dyDescent="0.3">
      <c r="A785" s="2" t="s">
        <v>102</v>
      </c>
      <c r="B785" s="2" t="s">
        <v>143</v>
      </c>
      <c r="C785" s="2" t="s">
        <v>13</v>
      </c>
      <c r="D785" s="2" t="s">
        <v>123</v>
      </c>
      <c r="E785" s="2" t="s">
        <v>167</v>
      </c>
      <c r="F785" s="2">
        <v>22283231891.839199</v>
      </c>
      <c r="G785" s="2" t="str">
        <f>Table1_1[[#This Row],[Country Name]]&amp;"|"&amp;Table1_1[[#This Row],[Series Name]]&amp;"|"&amp;Table1_1[[#This Row],[Years]]</f>
        <v>Indonesia|Foreign direct investment, net inflows (BoP, current US$)|2025</v>
      </c>
    </row>
    <row r="786" spans="1:7" x14ac:dyDescent="0.3">
      <c r="A786" s="2" t="s">
        <v>102</v>
      </c>
      <c r="B786" s="2" t="s">
        <v>143</v>
      </c>
      <c r="C786" s="2" t="s">
        <v>107</v>
      </c>
      <c r="D786" s="2" t="s">
        <v>106</v>
      </c>
      <c r="E786" s="2" t="s">
        <v>152</v>
      </c>
      <c r="F786" s="2">
        <v>246305322</v>
      </c>
      <c r="G786" s="2" t="str">
        <f>Table1_1[[#This Row],[Country Name]]&amp;"|"&amp;Table1_1[[#This Row],[Series Name]]&amp;"|"&amp;Table1_1[[#This Row],[Years]]</f>
        <v>Indonesia|Population, total|2010</v>
      </c>
    </row>
    <row r="787" spans="1:7" x14ac:dyDescent="0.3">
      <c r="A787" s="2" t="s">
        <v>102</v>
      </c>
      <c r="B787" s="2" t="s">
        <v>143</v>
      </c>
      <c r="C787" s="2" t="s">
        <v>107</v>
      </c>
      <c r="D787" s="2" t="s">
        <v>106</v>
      </c>
      <c r="E787" s="2" t="s">
        <v>153</v>
      </c>
      <c r="F787" s="2">
        <v>249470032</v>
      </c>
      <c r="G787" s="2" t="str">
        <f>Table1_1[[#This Row],[Country Name]]&amp;"|"&amp;Table1_1[[#This Row],[Series Name]]&amp;"|"&amp;Table1_1[[#This Row],[Years]]</f>
        <v>Indonesia|Population, total|2011</v>
      </c>
    </row>
    <row r="788" spans="1:7" x14ac:dyDescent="0.3">
      <c r="A788" s="2" t="s">
        <v>102</v>
      </c>
      <c r="B788" s="2" t="s">
        <v>143</v>
      </c>
      <c r="C788" s="2" t="s">
        <v>107</v>
      </c>
      <c r="D788" s="2" t="s">
        <v>106</v>
      </c>
      <c r="E788" s="2" t="s">
        <v>154</v>
      </c>
      <c r="F788" s="2">
        <v>252698525</v>
      </c>
      <c r="G788" s="2" t="str">
        <f>Table1_1[[#This Row],[Country Name]]&amp;"|"&amp;Table1_1[[#This Row],[Series Name]]&amp;"|"&amp;Table1_1[[#This Row],[Years]]</f>
        <v>Indonesia|Population, total|2012</v>
      </c>
    </row>
    <row r="789" spans="1:7" x14ac:dyDescent="0.3">
      <c r="A789" s="2" t="s">
        <v>102</v>
      </c>
      <c r="B789" s="2" t="s">
        <v>143</v>
      </c>
      <c r="C789" s="2" t="s">
        <v>107</v>
      </c>
      <c r="D789" s="2" t="s">
        <v>106</v>
      </c>
      <c r="E789" s="2" t="s">
        <v>155</v>
      </c>
      <c r="F789" s="2">
        <v>255852467</v>
      </c>
      <c r="G789" s="2" t="str">
        <f>Table1_1[[#This Row],[Country Name]]&amp;"|"&amp;Table1_1[[#This Row],[Series Name]]&amp;"|"&amp;Table1_1[[#This Row],[Years]]</f>
        <v>Indonesia|Population, total|2013</v>
      </c>
    </row>
    <row r="790" spans="1:7" x14ac:dyDescent="0.3">
      <c r="A790" s="2" t="s">
        <v>102</v>
      </c>
      <c r="B790" s="2" t="s">
        <v>143</v>
      </c>
      <c r="C790" s="2" t="s">
        <v>107</v>
      </c>
      <c r="D790" s="2" t="s">
        <v>106</v>
      </c>
      <c r="E790" s="2" t="s">
        <v>156</v>
      </c>
      <c r="F790" s="2">
        <v>258877399</v>
      </c>
      <c r="G790" s="2" t="str">
        <f>Table1_1[[#This Row],[Country Name]]&amp;"|"&amp;Table1_1[[#This Row],[Series Name]]&amp;"|"&amp;Table1_1[[#This Row],[Years]]</f>
        <v>Indonesia|Population, total|2014</v>
      </c>
    </row>
    <row r="791" spans="1:7" x14ac:dyDescent="0.3">
      <c r="A791" s="2" t="s">
        <v>102</v>
      </c>
      <c r="B791" s="2" t="s">
        <v>143</v>
      </c>
      <c r="C791" s="2" t="s">
        <v>107</v>
      </c>
      <c r="D791" s="2" t="s">
        <v>106</v>
      </c>
      <c r="E791" s="2" t="s">
        <v>157</v>
      </c>
      <c r="F791" s="2">
        <v>261799249</v>
      </c>
      <c r="G791" s="2" t="str">
        <f>Table1_1[[#This Row],[Country Name]]&amp;"|"&amp;Table1_1[[#This Row],[Series Name]]&amp;"|"&amp;Table1_1[[#This Row],[Years]]</f>
        <v>Indonesia|Population, total|2015</v>
      </c>
    </row>
    <row r="792" spans="1:7" x14ac:dyDescent="0.3">
      <c r="A792" s="2" t="s">
        <v>102</v>
      </c>
      <c r="B792" s="2" t="s">
        <v>143</v>
      </c>
      <c r="C792" s="2" t="s">
        <v>107</v>
      </c>
      <c r="D792" s="2" t="s">
        <v>106</v>
      </c>
      <c r="E792" s="2" t="s">
        <v>158</v>
      </c>
      <c r="F792" s="2">
        <v>264627418</v>
      </c>
      <c r="G792" s="2" t="str">
        <f>Table1_1[[#This Row],[Country Name]]&amp;"|"&amp;Table1_1[[#This Row],[Series Name]]&amp;"|"&amp;Table1_1[[#This Row],[Years]]</f>
        <v>Indonesia|Population, total|2016</v>
      </c>
    </row>
    <row r="793" spans="1:7" x14ac:dyDescent="0.3">
      <c r="A793" s="2" t="s">
        <v>102</v>
      </c>
      <c r="B793" s="2" t="s">
        <v>143</v>
      </c>
      <c r="C793" s="2" t="s">
        <v>107</v>
      </c>
      <c r="D793" s="2" t="s">
        <v>106</v>
      </c>
      <c r="E793" s="2" t="s">
        <v>159</v>
      </c>
      <c r="F793" s="2">
        <v>267346658</v>
      </c>
      <c r="G793" s="2" t="str">
        <f>Table1_1[[#This Row],[Country Name]]&amp;"|"&amp;Table1_1[[#This Row],[Series Name]]&amp;"|"&amp;Table1_1[[#This Row],[Years]]</f>
        <v>Indonesia|Population, total|2017</v>
      </c>
    </row>
    <row r="794" spans="1:7" x14ac:dyDescent="0.3">
      <c r="A794" s="2" t="s">
        <v>102</v>
      </c>
      <c r="B794" s="2" t="s">
        <v>143</v>
      </c>
      <c r="C794" s="2" t="s">
        <v>107</v>
      </c>
      <c r="D794" s="2" t="s">
        <v>106</v>
      </c>
      <c r="E794" s="2" t="s">
        <v>160</v>
      </c>
      <c r="F794" s="2">
        <v>269951846</v>
      </c>
      <c r="G794" s="2" t="str">
        <f>Table1_1[[#This Row],[Country Name]]&amp;"|"&amp;Table1_1[[#This Row],[Series Name]]&amp;"|"&amp;Table1_1[[#This Row],[Years]]</f>
        <v>Indonesia|Population, total|2018</v>
      </c>
    </row>
    <row r="795" spans="1:7" x14ac:dyDescent="0.3">
      <c r="A795" s="2" t="s">
        <v>102</v>
      </c>
      <c r="B795" s="2" t="s">
        <v>143</v>
      </c>
      <c r="C795" s="2" t="s">
        <v>107</v>
      </c>
      <c r="D795" s="2" t="s">
        <v>106</v>
      </c>
      <c r="E795" s="2" t="s">
        <v>161</v>
      </c>
      <c r="F795" s="2">
        <v>272489381</v>
      </c>
      <c r="G795" s="2" t="str">
        <f>Table1_1[[#This Row],[Country Name]]&amp;"|"&amp;Table1_1[[#This Row],[Series Name]]&amp;"|"&amp;Table1_1[[#This Row],[Years]]</f>
        <v>Indonesia|Population, total|2019</v>
      </c>
    </row>
    <row r="796" spans="1:7" x14ac:dyDescent="0.3">
      <c r="A796" s="2" t="s">
        <v>102</v>
      </c>
      <c r="B796" s="2" t="s">
        <v>143</v>
      </c>
      <c r="C796" s="2" t="s">
        <v>107</v>
      </c>
      <c r="D796" s="2" t="s">
        <v>106</v>
      </c>
      <c r="E796" s="2" t="s">
        <v>162</v>
      </c>
      <c r="F796" s="2">
        <v>274814866</v>
      </c>
      <c r="G796" s="2" t="str">
        <f>Table1_1[[#This Row],[Country Name]]&amp;"|"&amp;Table1_1[[#This Row],[Series Name]]&amp;"|"&amp;Table1_1[[#This Row],[Years]]</f>
        <v>Indonesia|Population, total|2020</v>
      </c>
    </row>
    <row r="797" spans="1:7" x14ac:dyDescent="0.3">
      <c r="A797" s="2" t="s">
        <v>102</v>
      </c>
      <c r="B797" s="2" t="s">
        <v>143</v>
      </c>
      <c r="C797" s="2" t="s">
        <v>107</v>
      </c>
      <c r="D797" s="2" t="s">
        <v>106</v>
      </c>
      <c r="E797" s="2" t="s">
        <v>163</v>
      </c>
      <c r="F797" s="2">
        <v>276758053</v>
      </c>
      <c r="G797" s="2" t="str">
        <f>Table1_1[[#This Row],[Country Name]]&amp;"|"&amp;Table1_1[[#This Row],[Series Name]]&amp;"|"&amp;Table1_1[[#This Row],[Years]]</f>
        <v>Indonesia|Population, total|2021</v>
      </c>
    </row>
    <row r="798" spans="1:7" x14ac:dyDescent="0.3">
      <c r="A798" s="2" t="s">
        <v>102</v>
      </c>
      <c r="B798" s="2" t="s">
        <v>143</v>
      </c>
      <c r="C798" s="2" t="s">
        <v>107</v>
      </c>
      <c r="D798" s="2" t="s">
        <v>106</v>
      </c>
      <c r="E798" s="2" t="s">
        <v>164</v>
      </c>
      <c r="F798" s="2">
        <v>278830529</v>
      </c>
      <c r="G798" s="2" t="str">
        <f>Table1_1[[#This Row],[Country Name]]&amp;"|"&amp;Table1_1[[#This Row],[Series Name]]&amp;"|"&amp;Table1_1[[#This Row],[Years]]</f>
        <v>Indonesia|Population, total|2022</v>
      </c>
    </row>
    <row r="799" spans="1:7" x14ac:dyDescent="0.3">
      <c r="A799" s="2" t="s">
        <v>102</v>
      </c>
      <c r="B799" s="2" t="s">
        <v>143</v>
      </c>
      <c r="C799" s="2" t="s">
        <v>107</v>
      </c>
      <c r="D799" s="2" t="s">
        <v>106</v>
      </c>
      <c r="E799" s="2" t="s">
        <v>165</v>
      </c>
      <c r="F799" s="2">
        <v>281190067</v>
      </c>
      <c r="G799" s="2" t="str">
        <f>Table1_1[[#This Row],[Country Name]]&amp;"|"&amp;Table1_1[[#This Row],[Series Name]]&amp;"|"&amp;Table1_1[[#This Row],[Years]]</f>
        <v>Indonesia|Population, total|2023</v>
      </c>
    </row>
    <row r="800" spans="1:7" x14ac:dyDescent="0.3">
      <c r="A800" s="2" t="s">
        <v>102</v>
      </c>
      <c r="B800" s="2" t="s">
        <v>143</v>
      </c>
      <c r="C800" s="2" t="s">
        <v>107</v>
      </c>
      <c r="D800" s="2" t="s">
        <v>106</v>
      </c>
      <c r="E800" s="2" t="s">
        <v>166</v>
      </c>
      <c r="F800" s="2">
        <v>283487931</v>
      </c>
      <c r="G800" s="2" t="str">
        <f>Table1_1[[#This Row],[Country Name]]&amp;"|"&amp;Table1_1[[#This Row],[Series Name]]&amp;"|"&amp;Table1_1[[#This Row],[Years]]</f>
        <v>Indonesia|Population, total|2024</v>
      </c>
    </row>
    <row r="801" spans="1:7" x14ac:dyDescent="0.3">
      <c r="A801" s="2" t="s">
        <v>102</v>
      </c>
      <c r="B801" s="2" t="s">
        <v>143</v>
      </c>
      <c r="C801" s="2" t="s">
        <v>107</v>
      </c>
      <c r="D801" s="2" t="s">
        <v>106</v>
      </c>
      <c r="E801" s="2" t="s">
        <v>167</v>
      </c>
      <c r="F801" s="2">
        <v>285721236</v>
      </c>
      <c r="G801" s="2" t="str">
        <f>Table1_1[[#This Row],[Country Name]]&amp;"|"&amp;Table1_1[[#This Row],[Series Name]]&amp;"|"&amp;Table1_1[[#This Row],[Years]]</f>
        <v>Indonesia|Population, total|2025</v>
      </c>
    </row>
    <row r="802" spans="1:7" x14ac:dyDescent="0.3">
      <c r="A802" s="2" t="s">
        <v>98</v>
      </c>
      <c r="B802" s="2" t="s">
        <v>92</v>
      </c>
      <c r="C802" s="2" t="s">
        <v>25</v>
      </c>
      <c r="D802" s="2" t="s">
        <v>89</v>
      </c>
      <c r="E802" s="2" t="s">
        <v>152</v>
      </c>
      <c r="F802" s="2">
        <v>255017638455.58969</v>
      </c>
      <c r="G802" s="2" t="str">
        <f>Table1_1[[#This Row],[Country Name]]&amp;"|"&amp;Table1_1[[#This Row],[Series Name]]&amp;"|"&amp;Table1_1[[#This Row],[Years]]</f>
        <v>Malaysia|GDP (current US$)|2010</v>
      </c>
    </row>
    <row r="803" spans="1:7" x14ac:dyDescent="0.3">
      <c r="A803" s="2" t="s">
        <v>98</v>
      </c>
      <c r="B803" s="2" t="s">
        <v>92</v>
      </c>
      <c r="C803" s="2" t="s">
        <v>25</v>
      </c>
      <c r="D803" s="2" t="s">
        <v>89</v>
      </c>
      <c r="E803" s="2" t="s">
        <v>153</v>
      </c>
      <c r="F803" s="2">
        <v>297951668674.83466</v>
      </c>
      <c r="G803" s="2" t="str">
        <f>Table1_1[[#This Row],[Country Name]]&amp;"|"&amp;Table1_1[[#This Row],[Series Name]]&amp;"|"&amp;Table1_1[[#This Row],[Years]]</f>
        <v>Malaysia|GDP (current US$)|2011</v>
      </c>
    </row>
    <row r="804" spans="1:7" x14ac:dyDescent="0.3">
      <c r="A804" s="2" t="s">
        <v>98</v>
      </c>
      <c r="B804" s="2" t="s">
        <v>92</v>
      </c>
      <c r="C804" s="2" t="s">
        <v>25</v>
      </c>
      <c r="D804" s="2" t="s">
        <v>89</v>
      </c>
      <c r="E804" s="2" t="s">
        <v>154</v>
      </c>
      <c r="F804" s="2">
        <v>314443047642.11096</v>
      </c>
      <c r="G804" s="2" t="str">
        <f>Table1_1[[#This Row],[Country Name]]&amp;"|"&amp;Table1_1[[#This Row],[Series Name]]&amp;"|"&amp;Table1_1[[#This Row],[Years]]</f>
        <v>Malaysia|GDP (current US$)|2012</v>
      </c>
    </row>
    <row r="805" spans="1:7" x14ac:dyDescent="0.3">
      <c r="A805" s="2" t="s">
        <v>98</v>
      </c>
      <c r="B805" s="2" t="s">
        <v>92</v>
      </c>
      <c r="C805" s="2" t="s">
        <v>25</v>
      </c>
      <c r="D805" s="2" t="s">
        <v>89</v>
      </c>
      <c r="E805" s="2" t="s">
        <v>155</v>
      </c>
      <c r="F805" s="2">
        <v>323276235524.41534</v>
      </c>
      <c r="G805" s="2" t="str">
        <f>Table1_1[[#This Row],[Country Name]]&amp;"|"&amp;Table1_1[[#This Row],[Series Name]]&amp;"|"&amp;Table1_1[[#This Row],[Years]]</f>
        <v>Malaysia|GDP (current US$)|2013</v>
      </c>
    </row>
    <row r="806" spans="1:7" x14ac:dyDescent="0.3">
      <c r="A806" s="2" t="s">
        <v>98</v>
      </c>
      <c r="B806" s="2" t="s">
        <v>92</v>
      </c>
      <c r="C806" s="2" t="s">
        <v>25</v>
      </c>
      <c r="D806" s="2" t="s">
        <v>89</v>
      </c>
      <c r="E806" s="2" t="s">
        <v>156</v>
      </c>
      <c r="F806" s="2">
        <v>338066095097.25439</v>
      </c>
      <c r="G806" s="2" t="str">
        <f>Table1_1[[#This Row],[Country Name]]&amp;"|"&amp;Table1_1[[#This Row],[Series Name]]&amp;"|"&amp;Table1_1[[#This Row],[Years]]</f>
        <v>Malaysia|GDP (current US$)|2014</v>
      </c>
    </row>
    <row r="807" spans="1:7" x14ac:dyDescent="0.3">
      <c r="A807" s="2" t="s">
        <v>98</v>
      </c>
      <c r="B807" s="2" t="s">
        <v>92</v>
      </c>
      <c r="C807" s="2" t="s">
        <v>25</v>
      </c>
      <c r="D807" s="2" t="s">
        <v>89</v>
      </c>
      <c r="E807" s="2" t="s">
        <v>157</v>
      </c>
      <c r="F807" s="2">
        <v>301355266964.94733</v>
      </c>
      <c r="G807" s="2" t="str">
        <f>Table1_1[[#This Row],[Country Name]]&amp;"|"&amp;Table1_1[[#This Row],[Series Name]]&amp;"|"&amp;Table1_1[[#This Row],[Years]]</f>
        <v>Malaysia|GDP (current US$)|2015</v>
      </c>
    </row>
    <row r="808" spans="1:7" x14ac:dyDescent="0.3">
      <c r="A808" s="2" t="s">
        <v>98</v>
      </c>
      <c r="B808" s="2" t="s">
        <v>92</v>
      </c>
      <c r="C808" s="2" t="s">
        <v>25</v>
      </c>
      <c r="D808" s="2" t="s">
        <v>89</v>
      </c>
      <c r="E808" s="2" t="s">
        <v>158</v>
      </c>
      <c r="F808" s="2">
        <v>301256033870.33356</v>
      </c>
      <c r="G808" s="2" t="str">
        <f>Table1_1[[#This Row],[Country Name]]&amp;"|"&amp;Table1_1[[#This Row],[Series Name]]&amp;"|"&amp;Table1_1[[#This Row],[Years]]</f>
        <v>Malaysia|GDP (current US$)|2016</v>
      </c>
    </row>
    <row r="809" spans="1:7" x14ac:dyDescent="0.3">
      <c r="A809" s="2" t="s">
        <v>98</v>
      </c>
      <c r="B809" s="2" t="s">
        <v>92</v>
      </c>
      <c r="C809" s="2" t="s">
        <v>25</v>
      </c>
      <c r="D809" s="2" t="s">
        <v>89</v>
      </c>
      <c r="E809" s="2" t="s">
        <v>159</v>
      </c>
      <c r="F809" s="2">
        <v>319109094160.34308</v>
      </c>
      <c r="G809" s="2" t="str">
        <f>Table1_1[[#This Row],[Country Name]]&amp;"|"&amp;Table1_1[[#This Row],[Series Name]]&amp;"|"&amp;Table1_1[[#This Row],[Years]]</f>
        <v>Malaysia|GDP (current US$)|2017</v>
      </c>
    </row>
    <row r="810" spans="1:7" x14ac:dyDescent="0.3">
      <c r="A810" s="2" t="s">
        <v>98</v>
      </c>
      <c r="B810" s="2" t="s">
        <v>92</v>
      </c>
      <c r="C810" s="2" t="s">
        <v>25</v>
      </c>
      <c r="D810" s="2" t="s">
        <v>89</v>
      </c>
      <c r="E810" s="2" t="s">
        <v>160</v>
      </c>
      <c r="F810" s="2">
        <v>358788845712.52972</v>
      </c>
      <c r="G810" s="2" t="str">
        <f>Table1_1[[#This Row],[Country Name]]&amp;"|"&amp;Table1_1[[#This Row],[Series Name]]&amp;"|"&amp;Table1_1[[#This Row],[Years]]</f>
        <v>Malaysia|GDP (current US$)|2018</v>
      </c>
    </row>
    <row r="811" spans="1:7" x14ac:dyDescent="0.3">
      <c r="A811" s="2" t="s">
        <v>98</v>
      </c>
      <c r="B811" s="2" t="s">
        <v>92</v>
      </c>
      <c r="C811" s="2" t="s">
        <v>25</v>
      </c>
      <c r="D811" s="2" t="s">
        <v>89</v>
      </c>
      <c r="E811" s="2" t="s">
        <v>161</v>
      </c>
      <c r="F811" s="2">
        <v>365177721021.51611</v>
      </c>
      <c r="G811" s="2" t="str">
        <f>Table1_1[[#This Row],[Country Name]]&amp;"|"&amp;Table1_1[[#This Row],[Series Name]]&amp;"|"&amp;Table1_1[[#This Row],[Years]]</f>
        <v>Malaysia|GDP (current US$)|2019</v>
      </c>
    </row>
    <row r="812" spans="1:7" x14ac:dyDescent="0.3">
      <c r="A812" s="2" t="s">
        <v>98</v>
      </c>
      <c r="B812" s="2" t="s">
        <v>92</v>
      </c>
      <c r="C812" s="2" t="s">
        <v>25</v>
      </c>
      <c r="D812" s="2" t="s">
        <v>89</v>
      </c>
      <c r="E812" s="2" t="s">
        <v>162</v>
      </c>
      <c r="F812" s="2">
        <v>337456163961.21118</v>
      </c>
      <c r="G812" s="2" t="str">
        <f>Table1_1[[#This Row],[Country Name]]&amp;"|"&amp;Table1_1[[#This Row],[Series Name]]&amp;"|"&amp;Table1_1[[#This Row],[Years]]</f>
        <v>Malaysia|GDP (current US$)|2020</v>
      </c>
    </row>
    <row r="813" spans="1:7" x14ac:dyDescent="0.3">
      <c r="A813" s="2" t="s">
        <v>98</v>
      </c>
      <c r="B813" s="2" t="s">
        <v>92</v>
      </c>
      <c r="C813" s="2" t="s">
        <v>25</v>
      </c>
      <c r="D813" s="2" t="s">
        <v>89</v>
      </c>
      <c r="E813" s="2" t="s">
        <v>163</v>
      </c>
      <c r="F813" s="2">
        <v>373784553029.9776</v>
      </c>
      <c r="G813" s="2" t="str">
        <f>Table1_1[[#This Row],[Country Name]]&amp;"|"&amp;Table1_1[[#This Row],[Series Name]]&amp;"|"&amp;Table1_1[[#This Row],[Years]]</f>
        <v>Malaysia|GDP (current US$)|2021</v>
      </c>
    </row>
    <row r="814" spans="1:7" x14ac:dyDescent="0.3">
      <c r="A814" s="2" t="s">
        <v>98</v>
      </c>
      <c r="B814" s="2" t="s">
        <v>92</v>
      </c>
      <c r="C814" s="2" t="s">
        <v>25</v>
      </c>
      <c r="D814" s="2" t="s">
        <v>89</v>
      </c>
      <c r="E814" s="2" t="s">
        <v>164</v>
      </c>
      <c r="F814" s="2">
        <v>407830525989.55347</v>
      </c>
      <c r="G814" s="2" t="str">
        <f>Table1_1[[#This Row],[Country Name]]&amp;"|"&amp;Table1_1[[#This Row],[Series Name]]&amp;"|"&amp;Table1_1[[#This Row],[Years]]</f>
        <v>Malaysia|GDP (current US$)|2022</v>
      </c>
    </row>
    <row r="815" spans="1:7" x14ac:dyDescent="0.3">
      <c r="A815" s="2" t="s">
        <v>98</v>
      </c>
      <c r="B815" s="2" t="s">
        <v>92</v>
      </c>
      <c r="C815" s="2" t="s">
        <v>25</v>
      </c>
      <c r="D815" s="2" t="s">
        <v>89</v>
      </c>
      <c r="E815" s="2" t="s">
        <v>165</v>
      </c>
      <c r="F815" s="2">
        <v>399949418752.65729</v>
      </c>
      <c r="G815" s="2" t="str">
        <f>Table1_1[[#This Row],[Country Name]]&amp;"|"&amp;Table1_1[[#This Row],[Series Name]]&amp;"|"&amp;Table1_1[[#This Row],[Years]]</f>
        <v>Malaysia|GDP (current US$)|2023</v>
      </c>
    </row>
    <row r="816" spans="1:7" x14ac:dyDescent="0.3">
      <c r="A816" s="2" t="s">
        <v>98</v>
      </c>
      <c r="B816" s="2" t="s">
        <v>92</v>
      </c>
      <c r="C816" s="2" t="s">
        <v>25</v>
      </c>
      <c r="D816" s="2" t="s">
        <v>89</v>
      </c>
      <c r="E816" s="2" t="s">
        <v>166</v>
      </c>
      <c r="F816" s="2">
        <v>422227005428.68805</v>
      </c>
      <c r="G816" s="2" t="str">
        <f>Table1_1[[#This Row],[Country Name]]&amp;"|"&amp;Table1_1[[#This Row],[Series Name]]&amp;"|"&amp;Table1_1[[#This Row],[Years]]</f>
        <v>Malaysia|GDP (current US$)|2024</v>
      </c>
    </row>
    <row r="817" spans="1:7" x14ac:dyDescent="0.3">
      <c r="A817" s="2" t="s">
        <v>98</v>
      </c>
      <c r="B817" s="2" t="s">
        <v>92</v>
      </c>
      <c r="C817" s="2" t="s">
        <v>25</v>
      </c>
      <c r="D817" s="2" t="s">
        <v>89</v>
      </c>
      <c r="E817" s="2" t="s">
        <v>167</v>
      </c>
      <c r="F817" s="2">
        <v>472193128644.59729</v>
      </c>
      <c r="G817" s="2" t="str">
        <f>Table1_1[[#This Row],[Country Name]]&amp;"|"&amp;Table1_1[[#This Row],[Series Name]]&amp;"|"&amp;Table1_1[[#This Row],[Years]]</f>
        <v>Malaysia|GDP (current US$)|2025</v>
      </c>
    </row>
    <row r="818" spans="1:7" x14ac:dyDescent="0.3">
      <c r="A818" s="2" t="s">
        <v>98</v>
      </c>
      <c r="B818" s="2" t="s">
        <v>92</v>
      </c>
      <c r="C818" s="2" t="s">
        <v>67</v>
      </c>
      <c r="D818" s="2" t="s">
        <v>24</v>
      </c>
      <c r="E818" s="2" t="s">
        <v>152</v>
      </c>
      <c r="F818" s="2">
        <v>7.4248473832609676</v>
      </c>
      <c r="G818" s="2" t="str">
        <f>Table1_1[[#This Row],[Country Name]]&amp;"|"&amp;Table1_1[[#This Row],[Series Name]]&amp;"|"&amp;Table1_1[[#This Row],[Years]]</f>
        <v>Malaysia|GDP growth (annual %)|2010</v>
      </c>
    </row>
    <row r="819" spans="1:7" x14ac:dyDescent="0.3">
      <c r="A819" s="2" t="s">
        <v>98</v>
      </c>
      <c r="B819" s="2" t="s">
        <v>92</v>
      </c>
      <c r="C819" s="2" t="s">
        <v>67</v>
      </c>
      <c r="D819" s="2" t="s">
        <v>24</v>
      </c>
      <c r="E819" s="2" t="s">
        <v>153</v>
      </c>
      <c r="F819" s="2">
        <v>5.2939128341400306</v>
      </c>
      <c r="G819" s="2" t="str">
        <f>Table1_1[[#This Row],[Country Name]]&amp;"|"&amp;Table1_1[[#This Row],[Series Name]]&amp;"|"&amp;Table1_1[[#This Row],[Years]]</f>
        <v>Malaysia|GDP growth (annual %)|2011</v>
      </c>
    </row>
    <row r="820" spans="1:7" x14ac:dyDescent="0.3">
      <c r="A820" s="2" t="s">
        <v>98</v>
      </c>
      <c r="B820" s="2" t="s">
        <v>92</v>
      </c>
      <c r="C820" s="2" t="s">
        <v>67</v>
      </c>
      <c r="D820" s="2" t="s">
        <v>24</v>
      </c>
      <c r="E820" s="2" t="s">
        <v>154</v>
      </c>
      <c r="F820" s="2">
        <v>5.4734541925385258</v>
      </c>
      <c r="G820" s="2" t="str">
        <f>Table1_1[[#This Row],[Country Name]]&amp;"|"&amp;Table1_1[[#This Row],[Series Name]]&amp;"|"&amp;Table1_1[[#This Row],[Years]]</f>
        <v>Malaysia|GDP growth (annual %)|2012</v>
      </c>
    </row>
    <row r="821" spans="1:7" x14ac:dyDescent="0.3">
      <c r="A821" s="2" t="s">
        <v>98</v>
      </c>
      <c r="B821" s="2" t="s">
        <v>92</v>
      </c>
      <c r="C821" s="2" t="s">
        <v>67</v>
      </c>
      <c r="D821" s="2" t="s">
        <v>24</v>
      </c>
      <c r="E821" s="2" t="s">
        <v>155</v>
      </c>
      <c r="F821" s="2">
        <v>4.6937225255789343</v>
      </c>
      <c r="G821" s="2" t="str">
        <f>Table1_1[[#This Row],[Country Name]]&amp;"|"&amp;Table1_1[[#This Row],[Series Name]]&amp;"|"&amp;Table1_1[[#This Row],[Years]]</f>
        <v>Malaysia|GDP growth (annual %)|2013</v>
      </c>
    </row>
    <row r="822" spans="1:7" x14ac:dyDescent="0.3">
      <c r="A822" s="2" t="s">
        <v>98</v>
      </c>
      <c r="B822" s="2" t="s">
        <v>92</v>
      </c>
      <c r="C822" s="2" t="s">
        <v>67</v>
      </c>
      <c r="D822" s="2" t="s">
        <v>24</v>
      </c>
      <c r="E822" s="2" t="s">
        <v>156</v>
      </c>
      <c r="F822" s="2">
        <v>6.0067219455820293</v>
      </c>
      <c r="G822" s="2" t="str">
        <f>Table1_1[[#This Row],[Country Name]]&amp;"|"&amp;Table1_1[[#This Row],[Series Name]]&amp;"|"&amp;Table1_1[[#This Row],[Years]]</f>
        <v>Malaysia|GDP growth (annual %)|2014</v>
      </c>
    </row>
    <row r="823" spans="1:7" x14ac:dyDescent="0.3">
      <c r="A823" s="2" t="s">
        <v>98</v>
      </c>
      <c r="B823" s="2" t="s">
        <v>92</v>
      </c>
      <c r="C823" s="2" t="s">
        <v>67</v>
      </c>
      <c r="D823" s="2" t="s">
        <v>24</v>
      </c>
      <c r="E823" s="2" t="s">
        <v>157</v>
      </c>
      <c r="F823" s="2">
        <v>5.091532421550113</v>
      </c>
      <c r="G823" s="2" t="str">
        <f>Table1_1[[#This Row],[Country Name]]&amp;"|"&amp;Table1_1[[#This Row],[Series Name]]&amp;"|"&amp;Table1_1[[#This Row],[Years]]</f>
        <v>Malaysia|GDP growth (annual %)|2015</v>
      </c>
    </row>
    <row r="824" spans="1:7" x14ac:dyDescent="0.3">
      <c r="A824" s="2" t="s">
        <v>98</v>
      </c>
      <c r="B824" s="2" t="s">
        <v>92</v>
      </c>
      <c r="C824" s="2" t="s">
        <v>67</v>
      </c>
      <c r="D824" s="2" t="s">
        <v>24</v>
      </c>
      <c r="E824" s="2" t="s">
        <v>158</v>
      </c>
      <c r="F824" s="2">
        <v>4.4497813976154106</v>
      </c>
      <c r="G824" s="2" t="str">
        <f>Table1_1[[#This Row],[Country Name]]&amp;"|"&amp;Table1_1[[#This Row],[Series Name]]&amp;"|"&amp;Table1_1[[#This Row],[Years]]</f>
        <v>Malaysia|GDP growth (annual %)|2016</v>
      </c>
    </row>
    <row r="825" spans="1:7" x14ac:dyDescent="0.3">
      <c r="A825" s="2" t="s">
        <v>98</v>
      </c>
      <c r="B825" s="2" t="s">
        <v>92</v>
      </c>
      <c r="C825" s="2" t="s">
        <v>67</v>
      </c>
      <c r="D825" s="2" t="s">
        <v>24</v>
      </c>
      <c r="E825" s="2" t="s">
        <v>159</v>
      </c>
      <c r="F825" s="2">
        <v>5.8127224098332846</v>
      </c>
      <c r="G825" s="2" t="str">
        <f>Table1_1[[#This Row],[Country Name]]&amp;"|"&amp;Table1_1[[#This Row],[Series Name]]&amp;"|"&amp;Table1_1[[#This Row],[Years]]</f>
        <v>Malaysia|GDP growth (annual %)|2017</v>
      </c>
    </row>
    <row r="826" spans="1:7" x14ac:dyDescent="0.3">
      <c r="A826" s="2" t="s">
        <v>98</v>
      </c>
      <c r="B826" s="2" t="s">
        <v>92</v>
      </c>
      <c r="C826" s="2" t="s">
        <v>67</v>
      </c>
      <c r="D826" s="2" t="s">
        <v>24</v>
      </c>
      <c r="E826" s="2" t="s">
        <v>160</v>
      </c>
      <c r="F826" s="2">
        <v>4.8430869763488147</v>
      </c>
      <c r="G826" s="2" t="str">
        <f>Table1_1[[#This Row],[Country Name]]&amp;"|"&amp;Table1_1[[#This Row],[Series Name]]&amp;"|"&amp;Table1_1[[#This Row],[Years]]</f>
        <v>Malaysia|GDP growth (annual %)|2018</v>
      </c>
    </row>
    <row r="827" spans="1:7" x14ac:dyDescent="0.3">
      <c r="A827" s="2" t="s">
        <v>98</v>
      </c>
      <c r="B827" s="2" t="s">
        <v>92</v>
      </c>
      <c r="C827" s="2" t="s">
        <v>67</v>
      </c>
      <c r="D827" s="2" t="s">
        <v>24</v>
      </c>
      <c r="E827" s="2" t="s">
        <v>161</v>
      </c>
      <c r="F827" s="2">
        <v>4.4131874212958593</v>
      </c>
      <c r="G827" s="2" t="str">
        <f>Table1_1[[#This Row],[Country Name]]&amp;"|"&amp;Table1_1[[#This Row],[Series Name]]&amp;"|"&amp;Table1_1[[#This Row],[Years]]</f>
        <v>Malaysia|GDP growth (annual %)|2019</v>
      </c>
    </row>
    <row r="828" spans="1:7" x14ac:dyDescent="0.3">
      <c r="A828" s="2" t="s">
        <v>98</v>
      </c>
      <c r="B828" s="2" t="s">
        <v>92</v>
      </c>
      <c r="C828" s="2" t="s">
        <v>67</v>
      </c>
      <c r="D828" s="2" t="s">
        <v>24</v>
      </c>
      <c r="E828" s="2" t="s">
        <v>162</v>
      </c>
      <c r="F828" s="2">
        <v>-5.4568465842670122</v>
      </c>
      <c r="G828" s="2" t="str">
        <f>Table1_1[[#This Row],[Country Name]]&amp;"|"&amp;Table1_1[[#This Row],[Series Name]]&amp;"|"&amp;Table1_1[[#This Row],[Years]]</f>
        <v>Malaysia|GDP growth (annual %)|2020</v>
      </c>
    </row>
    <row r="829" spans="1:7" x14ac:dyDescent="0.3">
      <c r="A829" s="2" t="s">
        <v>98</v>
      </c>
      <c r="B829" s="2" t="s">
        <v>92</v>
      </c>
      <c r="C829" s="2" t="s">
        <v>67</v>
      </c>
      <c r="D829" s="2" t="s">
        <v>24</v>
      </c>
      <c r="E829" s="2" t="s">
        <v>163</v>
      </c>
      <c r="F829" s="2">
        <v>3.3153495439916583</v>
      </c>
      <c r="G829" s="2" t="str">
        <f>Table1_1[[#This Row],[Country Name]]&amp;"|"&amp;Table1_1[[#This Row],[Series Name]]&amp;"|"&amp;Table1_1[[#This Row],[Years]]</f>
        <v>Malaysia|GDP growth (annual %)|2021</v>
      </c>
    </row>
    <row r="830" spans="1:7" x14ac:dyDescent="0.3">
      <c r="A830" s="2" t="s">
        <v>98</v>
      </c>
      <c r="B830" s="2" t="s">
        <v>92</v>
      </c>
      <c r="C830" s="2" t="s">
        <v>67</v>
      </c>
      <c r="D830" s="2" t="s">
        <v>24</v>
      </c>
      <c r="E830" s="2" t="s">
        <v>164</v>
      </c>
      <c r="F830" s="2">
        <v>9.0317372304445058</v>
      </c>
      <c r="G830" s="2" t="str">
        <f>Table1_1[[#This Row],[Country Name]]&amp;"|"&amp;Table1_1[[#This Row],[Series Name]]&amp;"|"&amp;Table1_1[[#This Row],[Years]]</f>
        <v>Malaysia|GDP growth (annual %)|2022</v>
      </c>
    </row>
    <row r="831" spans="1:7" x14ac:dyDescent="0.3">
      <c r="A831" s="2" t="s">
        <v>98</v>
      </c>
      <c r="B831" s="2" t="s">
        <v>92</v>
      </c>
      <c r="C831" s="2" t="s">
        <v>67</v>
      </c>
      <c r="D831" s="2" t="s">
        <v>24</v>
      </c>
      <c r="E831" s="2" t="s">
        <v>165</v>
      </c>
      <c r="F831" s="2">
        <v>3.5370638041056992</v>
      </c>
      <c r="G831" s="2" t="str">
        <f>Table1_1[[#This Row],[Country Name]]&amp;"|"&amp;Table1_1[[#This Row],[Series Name]]&amp;"|"&amp;Table1_1[[#This Row],[Years]]</f>
        <v>Malaysia|GDP growth (annual %)|2023</v>
      </c>
    </row>
    <row r="832" spans="1:7" x14ac:dyDescent="0.3">
      <c r="A832" s="2" t="s">
        <v>98</v>
      </c>
      <c r="B832" s="2" t="s">
        <v>92</v>
      </c>
      <c r="C832" s="2" t="s">
        <v>67</v>
      </c>
      <c r="D832" s="2" t="s">
        <v>24</v>
      </c>
      <c r="E832" s="2" t="s">
        <v>166</v>
      </c>
      <c r="F832" s="2">
        <v>5.1054592102404115</v>
      </c>
      <c r="G832" s="2" t="str">
        <f>Table1_1[[#This Row],[Country Name]]&amp;"|"&amp;Table1_1[[#This Row],[Series Name]]&amp;"|"&amp;Table1_1[[#This Row],[Years]]</f>
        <v>Malaysia|GDP growth (annual %)|2024</v>
      </c>
    </row>
    <row r="833" spans="1:7" x14ac:dyDescent="0.3">
      <c r="A833" s="2" t="s">
        <v>98</v>
      </c>
      <c r="B833" s="2" t="s">
        <v>92</v>
      </c>
      <c r="C833" s="2" t="s">
        <v>67</v>
      </c>
      <c r="D833" s="2" t="s">
        <v>24</v>
      </c>
      <c r="E833" s="2" t="s">
        <v>167</v>
      </c>
      <c r="F833" s="2">
        <v>5.1712708291105685</v>
      </c>
      <c r="G833" s="2" t="str">
        <f>Table1_1[[#This Row],[Country Name]]&amp;"|"&amp;Table1_1[[#This Row],[Series Name]]&amp;"|"&amp;Table1_1[[#This Row],[Years]]</f>
        <v>Malaysia|GDP growth (annual %)|2025</v>
      </c>
    </row>
    <row r="834" spans="1:7" x14ac:dyDescent="0.3">
      <c r="A834" s="2" t="s">
        <v>98</v>
      </c>
      <c r="B834" s="2" t="s">
        <v>92</v>
      </c>
      <c r="C834" s="2" t="s">
        <v>79</v>
      </c>
      <c r="D834" s="2" t="s">
        <v>91</v>
      </c>
      <c r="E834" s="2" t="s">
        <v>152</v>
      </c>
      <c r="F834" s="2">
        <v>1.6228523557703529</v>
      </c>
      <c r="G834" s="2" t="str">
        <f>Table1_1[[#This Row],[Country Name]]&amp;"|"&amp;Table1_1[[#This Row],[Series Name]]&amp;"|"&amp;Table1_1[[#This Row],[Years]]</f>
        <v>Malaysia|Inflation, consumer prices (annual %)|2010</v>
      </c>
    </row>
    <row r="835" spans="1:7" x14ac:dyDescent="0.3">
      <c r="A835" s="2" t="s">
        <v>98</v>
      </c>
      <c r="B835" s="2" t="s">
        <v>92</v>
      </c>
      <c r="C835" s="2" t="s">
        <v>79</v>
      </c>
      <c r="D835" s="2" t="s">
        <v>91</v>
      </c>
      <c r="E835" s="2" t="s">
        <v>153</v>
      </c>
      <c r="F835" s="2">
        <v>3.1744709215131</v>
      </c>
      <c r="G835" s="2" t="str">
        <f>Table1_1[[#This Row],[Country Name]]&amp;"|"&amp;Table1_1[[#This Row],[Series Name]]&amp;"|"&amp;Table1_1[[#This Row],[Years]]</f>
        <v>Malaysia|Inflation, consumer prices (annual %)|2011</v>
      </c>
    </row>
    <row r="836" spans="1:7" x14ac:dyDescent="0.3">
      <c r="A836" s="2" t="s">
        <v>98</v>
      </c>
      <c r="B836" s="2" t="s">
        <v>92</v>
      </c>
      <c r="C836" s="2" t="s">
        <v>79</v>
      </c>
      <c r="D836" s="2" t="s">
        <v>91</v>
      </c>
      <c r="E836" s="2" t="s">
        <v>154</v>
      </c>
      <c r="F836" s="2">
        <v>1.663571024792059</v>
      </c>
      <c r="G836" s="2" t="str">
        <f>Table1_1[[#This Row],[Country Name]]&amp;"|"&amp;Table1_1[[#This Row],[Series Name]]&amp;"|"&amp;Table1_1[[#This Row],[Years]]</f>
        <v>Malaysia|Inflation, consumer prices (annual %)|2012</v>
      </c>
    </row>
    <row r="837" spans="1:7" x14ac:dyDescent="0.3">
      <c r="A837" s="2" t="s">
        <v>98</v>
      </c>
      <c r="B837" s="2" t="s">
        <v>92</v>
      </c>
      <c r="C837" s="2" t="s">
        <v>79</v>
      </c>
      <c r="D837" s="2" t="s">
        <v>91</v>
      </c>
      <c r="E837" s="2" t="s">
        <v>155</v>
      </c>
      <c r="F837" s="2">
        <v>2.10501231233612</v>
      </c>
      <c r="G837" s="2" t="str">
        <f>Table1_1[[#This Row],[Country Name]]&amp;"|"&amp;Table1_1[[#This Row],[Series Name]]&amp;"|"&amp;Table1_1[[#This Row],[Years]]</f>
        <v>Malaysia|Inflation, consumer prices (annual %)|2013</v>
      </c>
    </row>
    <row r="838" spans="1:7" x14ac:dyDescent="0.3">
      <c r="A838" s="2" t="s">
        <v>98</v>
      </c>
      <c r="B838" s="2" t="s">
        <v>92</v>
      </c>
      <c r="C838" s="2" t="s">
        <v>79</v>
      </c>
      <c r="D838" s="2" t="s">
        <v>91</v>
      </c>
      <c r="E838" s="2" t="s">
        <v>156</v>
      </c>
      <c r="F838" s="2">
        <v>3.142990508790954</v>
      </c>
      <c r="G838" s="2" t="str">
        <f>Table1_1[[#This Row],[Country Name]]&amp;"|"&amp;Table1_1[[#This Row],[Series Name]]&amp;"|"&amp;Table1_1[[#This Row],[Years]]</f>
        <v>Malaysia|Inflation, consumer prices (annual %)|2014</v>
      </c>
    </row>
    <row r="839" spans="1:7" x14ac:dyDescent="0.3">
      <c r="A839" s="2" t="s">
        <v>98</v>
      </c>
      <c r="B839" s="2" t="s">
        <v>92</v>
      </c>
      <c r="C839" s="2" t="s">
        <v>79</v>
      </c>
      <c r="D839" s="2" t="s">
        <v>91</v>
      </c>
      <c r="E839" s="2" t="s">
        <v>157</v>
      </c>
      <c r="F839" s="2">
        <v>2.1043898023835852</v>
      </c>
      <c r="G839" s="2" t="str">
        <f>Table1_1[[#This Row],[Country Name]]&amp;"|"&amp;Table1_1[[#This Row],[Series Name]]&amp;"|"&amp;Table1_1[[#This Row],[Years]]</f>
        <v>Malaysia|Inflation, consumer prices (annual %)|2015</v>
      </c>
    </row>
    <row r="840" spans="1:7" x14ac:dyDescent="0.3">
      <c r="A840" s="2" t="s">
        <v>98</v>
      </c>
      <c r="B840" s="2" t="s">
        <v>92</v>
      </c>
      <c r="C840" s="2" t="s">
        <v>79</v>
      </c>
      <c r="D840" s="2" t="s">
        <v>91</v>
      </c>
      <c r="E840" s="2" t="s">
        <v>158</v>
      </c>
      <c r="F840" s="2">
        <v>2.0905665952574242</v>
      </c>
      <c r="G840" s="2" t="str">
        <f>Table1_1[[#This Row],[Country Name]]&amp;"|"&amp;Table1_1[[#This Row],[Series Name]]&amp;"|"&amp;Table1_1[[#This Row],[Years]]</f>
        <v>Malaysia|Inflation, consumer prices (annual %)|2016</v>
      </c>
    </row>
    <row r="841" spans="1:7" x14ac:dyDescent="0.3">
      <c r="A841" s="2" t="s">
        <v>98</v>
      </c>
      <c r="B841" s="2" t="s">
        <v>92</v>
      </c>
      <c r="C841" s="2" t="s">
        <v>79</v>
      </c>
      <c r="D841" s="2" t="s">
        <v>91</v>
      </c>
      <c r="E841" s="2" t="s">
        <v>159</v>
      </c>
      <c r="F841" s="2">
        <v>3.8712011577423739</v>
      </c>
      <c r="G841" s="2" t="str">
        <f>Table1_1[[#This Row],[Country Name]]&amp;"|"&amp;Table1_1[[#This Row],[Series Name]]&amp;"|"&amp;Table1_1[[#This Row],[Years]]</f>
        <v>Malaysia|Inflation, consumer prices (annual %)|2017</v>
      </c>
    </row>
    <row r="842" spans="1:7" x14ac:dyDescent="0.3">
      <c r="A842" s="2" t="s">
        <v>98</v>
      </c>
      <c r="B842" s="2" t="s">
        <v>92</v>
      </c>
      <c r="C842" s="2" t="s">
        <v>79</v>
      </c>
      <c r="D842" s="2" t="s">
        <v>91</v>
      </c>
      <c r="E842" s="2" t="s">
        <v>160</v>
      </c>
      <c r="F842" s="2">
        <v>0.88470916057123505</v>
      </c>
      <c r="G842" s="2" t="str">
        <f>Table1_1[[#This Row],[Country Name]]&amp;"|"&amp;Table1_1[[#This Row],[Series Name]]&amp;"|"&amp;Table1_1[[#This Row],[Years]]</f>
        <v>Malaysia|Inflation, consumer prices (annual %)|2018</v>
      </c>
    </row>
    <row r="843" spans="1:7" x14ac:dyDescent="0.3">
      <c r="A843" s="2" t="s">
        <v>98</v>
      </c>
      <c r="B843" s="2" t="s">
        <v>92</v>
      </c>
      <c r="C843" s="2" t="s">
        <v>79</v>
      </c>
      <c r="D843" s="2" t="s">
        <v>91</v>
      </c>
      <c r="E843" s="2" t="s">
        <v>161</v>
      </c>
      <c r="F843" s="2">
        <v>0.66289186576432635</v>
      </c>
      <c r="G843" s="2" t="str">
        <f>Table1_1[[#This Row],[Country Name]]&amp;"|"&amp;Table1_1[[#This Row],[Series Name]]&amp;"|"&amp;Table1_1[[#This Row],[Years]]</f>
        <v>Malaysia|Inflation, consumer prices (annual %)|2019</v>
      </c>
    </row>
    <row r="844" spans="1:7" x14ac:dyDescent="0.3">
      <c r="A844" s="2" t="s">
        <v>98</v>
      </c>
      <c r="B844" s="2" t="s">
        <v>92</v>
      </c>
      <c r="C844" s="2" t="s">
        <v>79</v>
      </c>
      <c r="D844" s="2" t="s">
        <v>91</v>
      </c>
      <c r="E844" s="2" t="s">
        <v>162</v>
      </c>
      <c r="F844" s="2">
        <v>-1.1387021539304989</v>
      </c>
      <c r="G844" s="2" t="str">
        <f>Table1_1[[#This Row],[Country Name]]&amp;"|"&amp;Table1_1[[#This Row],[Series Name]]&amp;"|"&amp;Table1_1[[#This Row],[Years]]</f>
        <v>Malaysia|Inflation, consumer prices (annual %)|2020</v>
      </c>
    </row>
    <row r="845" spans="1:7" x14ac:dyDescent="0.3">
      <c r="A845" s="2" t="s">
        <v>98</v>
      </c>
      <c r="B845" s="2" t="s">
        <v>92</v>
      </c>
      <c r="C845" s="2" t="s">
        <v>79</v>
      </c>
      <c r="D845" s="2" t="s">
        <v>91</v>
      </c>
      <c r="E845" s="2" t="s">
        <v>163</v>
      </c>
      <c r="F845" s="2">
        <v>2.477102414654468</v>
      </c>
      <c r="G845" s="2" t="str">
        <f>Table1_1[[#This Row],[Country Name]]&amp;"|"&amp;Table1_1[[#This Row],[Series Name]]&amp;"|"&amp;Table1_1[[#This Row],[Years]]</f>
        <v>Malaysia|Inflation, consumer prices (annual %)|2021</v>
      </c>
    </row>
    <row r="846" spans="1:7" x14ac:dyDescent="0.3">
      <c r="A846" s="2" t="s">
        <v>98</v>
      </c>
      <c r="B846" s="2" t="s">
        <v>92</v>
      </c>
      <c r="C846" s="2" t="s">
        <v>79</v>
      </c>
      <c r="D846" s="2" t="s">
        <v>91</v>
      </c>
      <c r="E846" s="2" t="s">
        <v>164</v>
      </c>
      <c r="F846" s="2">
        <v>3.3786986254992848</v>
      </c>
      <c r="G846" s="2" t="str">
        <f>Table1_1[[#This Row],[Country Name]]&amp;"|"&amp;Table1_1[[#This Row],[Series Name]]&amp;"|"&amp;Table1_1[[#This Row],[Years]]</f>
        <v>Malaysia|Inflation, consumer prices (annual %)|2022</v>
      </c>
    </row>
    <row r="847" spans="1:7" x14ac:dyDescent="0.3">
      <c r="A847" s="2" t="s">
        <v>98</v>
      </c>
      <c r="B847" s="2" t="s">
        <v>92</v>
      </c>
      <c r="C847" s="2" t="s">
        <v>79</v>
      </c>
      <c r="D847" s="2" t="s">
        <v>91</v>
      </c>
      <c r="E847" s="2" t="s">
        <v>165</v>
      </c>
      <c r="F847" s="2">
        <v>2.488865601257539</v>
      </c>
      <c r="G847" s="2" t="str">
        <f>Table1_1[[#This Row],[Country Name]]&amp;"|"&amp;Table1_1[[#This Row],[Series Name]]&amp;"|"&amp;Table1_1[[#This Row],[Years]]</f>
        <v>Malaysia|Inflation, consumer prices (annual %)|2023</v>
      </c>
    </row>
    <row r="848" spans="1:7" x14ac:dyDescent="0.3">
      <c r="A848" s="2" t="s">
        <v>98</v>
      </c>
      <c r="B848" s="2" t="s">
        <v>92</v>
      </c>
      <c r="C848" s="2" t="s">
        <v>79</v>
      </c>
      <c r="D848" s="2" t="s">
        <v>91</v>
      </c>
      <c r="E848" s="2" t="s">
        <v>166</v>
      </c>
      <c r="F848" s="2">
        <v>1.834100204499002</v>
      </c>
      <c r="G848" s="2" t="str">
        <f>Table1_1[[#This Row],[Country Name]]&amp;"|"&amp;Table1_1[[#This Row],[Series Name]]&amp;"|"&amp;Table1_1[[#This Row],[Years]]</f>
        <v>Malaysia|Inflation, consumer prices (annual %)|2024</v>
      </c>
    </row>
    <row r="849" spans="1:7" x14ac:dyDescent="0.3">
      <c r="A849" s="2" t="s">
        <v>98</v>
      </c>
      <c r="B849" s="2" t="s">
        <v>92</v>
      </c>
      <c r="C849" s="2" t="s">
        <v>79</v>
      </c>
      <c r="D849" s="2" t="s">
        <v>91</v>
      </c>
      <c r="E849" s="2" t="s">
        <v>167</v>
      </c>
      <c r="F849" s="2">
        <v>1.3806087229369191</v>
      </c>
      <c r="G849" s="2" t="str">
        <f>Table1_1[[#This Row],[Country Name]]&amp;"|"&amp;Table1_1[[#This Row],[Series Name]]&amp;"|"&amp;Table1_1[[#This Row],[Years]]</f>
        <v>Malaysia|Inflation, consumer prices (annual %)|2025</v>
      </c>
    </row>
    <row r="850" spans="1:7" x14ac:dyDescent="0.3">
      <c r="A850" s="2" t="s">
        <v>98</v>
      </c>
      <c r="B850" s="2" t="s">
        <v>92</v>
      </c>
      <c r="C850" s="2" t="s">
        <v>146</v>
      </c>
      <c r="D850" s="2" t="s">
        <v>131</v>
      </c>
      <c r="E850" s="2" t="s">
        <v>152</v>
      </c>
      <c r="F850" s="2">
        <v>3.32</v>
      </c>
      <c r="G850" s="2" t="str">
        <f>Table1_1[[#This Row],[Country Name]]&amp;"|"&amp;Table1_1[[#This Row],[Series Name]]&amp;"|"&amp;Table1_1[[#This Row],[Years]]</f>
        <v>Malaysia|Unemployment, total (% of total labor force) (modeled ILO estimate)|2010</v>
      </c>
    </row>
    <row r="851" spans="1:7" x14ac:dyDescent="0.3">
      <c r="A851" s="2" t="s">
        <v>98</v>
      </c>
      <c r="B851" s="2" t="s">
        <v>92</v>
      </c>
      <c r="C851" s="2" t="s">
        <v>146</v>
      </c>
      <c r="D851" s="2" t="s">
        <v>131</v>
      </c>
      <c r="E851" s="2" t="s">
        <v>153</v>
      </c>
      <c r="F851" s="2">
        <v>3.05</v>
      </c>
      <c r="G851" s="2" t="str">
        <f>Table1_1[[#This Row],[Country Name]]&amp;"|"&amp;Table1_1[[#This Row],[Series Name]]&amp;"|"&amp;Table1_1[[#This Row],[Years]]</f>
        <v>Malaysia|Unemployment, total (% of total labor force) (modeled ILO estimate)|2011</v>
      </c>
    </row>
    <row r="852" spans="1:7" x14ac:dyDescent="0.3">
      <c r="A852" s="2" t="s">
        <v>98</v>
      </c>
      <c r="B852" s="2" t="s">
        <v>92</v>
      </c>
      <c r="C852" s="2" t="s">
        <v>146</v>
      </c>
      <c r="D852" s="2" t="s">
        <v>131</v>
      </c>
      <c r="E852" s="2" t="s">
        <v>154</v>
      </c>
      <c r="F852" s="2">
        <v>3.04</v>
      </c>
      <c r="G852" s="2" t="str">
        <f>Table1_1[[#This Row],[Country Name]]&amp;"|"&amp;Table1_1[[#This Row],[Series Name]]&amp;"|"&amp;Table1_1[[#This Row],[Years]]</f>
        <v>Malaysia|Unemployment, total (% of total labor force) (modeled ILO estimate)|2012</v>
      </c>
    </row>
    <row r="853" spans="1:7" x14ac:dyDescent="0.3">
      <c r="A853" s="2" t="s">
        <v>98</v>
      </c>
      <c r="B853" s="2" t="s">
        <v>92</v>
      </c>
      <c r="C853" s="2" t="s">
        <v>146</v>
      </c>
      <c r="D853" s="2" t="s">
        <v>131</v>
      </c>
      <c r="E853" s="2" t="s">
        <v>155</v>
      </c>
      <c r="F853" s="2">
        <v>3.14</v>
      </c>
      <c r="G853" s="2" t="str">
        <f>Table1_1[[#This Row],[Country Name]]&amp;"|"&amp;Table1_1[[#This Row],[Series Name]]&amp;"|"&amp;Table1_1[[#This Row],[Years]]</f>
        <v>Malaysia|Unemployment, total (% of total labor force) (modeled ILO estimate)|2013</v>
      </c>
    </row>
    <row r="854" spans="1:7" x14ac:dyDescent="0.3">
      <c r="A854" s="2" t="s">
        <v>98</v>
      </c>
      <c r="B854" s="2" t="s">
        <v>92</v>
      </c>
      <c r="C854" s="2" t="s">
        <v>146</v>
      </c>
      <c r="D854" s="2" t="s">
        <v>131</v>
      </c>
      <c r="E854" s="2" t="s">
        <v>156</v>
      </c>
      <c r="F854" s="2">
        <v>2.88</v>
      </c>
      <c r="G854" s="2" t="str">
        <f>Table1_1[[#This Row],[Country Name]]&amp;"|"&amp;Table1_1[[#This Row],[Series Name]]&amp;"|"&amp;Table1_1[[#This Row],[Years]]</f>
        <v>Malaysia|Unemployment, total (% of total labor force) (modeled ILO estimate)|2014</v>
      </c>
    </row>
    <row r="855" spans="1:7" x14ac:dyDescent="0.3">
      <c r="A855" s="2" t="s">
        <v>98</v>
      </c>
      <c r="B855" s="2" t="s">
        <v>92</v>
      </c>
      <c r="C855" s="2" t="s">
        <v>146</v>
      </c>
      <c r="D855" s="2" t="s">
        <v>131</v>
      </c>
      <c r="E855" s="2" t="s">
        <v>157</v>
      </c>
      <c r="F855" s="2">
        <v>3.1</v>
      </c>
      <c r="G855" s="2" t="str">
        <f>Table1_1[[#This Row],[Country Name]]&amp;"|"&amp;Table1_1[[#This Row],[Series Name]]&amp;"|"&amp;Table1_1[[#This Row],[Years]]</f>
        <v>Malaysia|Unemployment, total (% of total labor force) (modeled ILO estimate)|2015</v>
      </c>
    </row>
    <row r="856" spans="1:7" x14ac:dyDescent="0.3">
      <c r="A856" s="2" t="s">
        <v>98</v>
      </c>
      <c r="B856" s="2" t="s">
        <v>92</v>
      </c>
      <c r="C856" s="2" t="s">
        <v>146</v>
      </c>
      <c r="D856" s="2" t="s">
        <v>131</v>
      </c>
      <c r="E856" s="2" t="s">
        <v>158</v>
      </c>
      <c r="F856" s="2">
        <v>3.44</v>
      </c>
      <c r="G856" s="2" t="str">
        <f>Table1_1[[#This Row],[Country Name]]&amp;"|"&amp;Table1_1[[#This Row],[Series Name]]&amp;"|"&amp;Table1_1[[#This Row],[Years]]</f>
        <v>Malaysia|Unemployment, total (% of total labor force) (modeled ILO estimate)|2016</v>
      </c>
    </row>
    <row r="857" spans="1:7" x14ac:dyDescent="0.3">
      <c r="A857" s="2" t="s">
        <v>98</v>
      </c>
      <c r="B857" s="2" t="s">
        <v>92</v>
      </c>
      <c r="C857" s="2" t="s">
        <v>146</v>
      </c>
      <c r="D857" s="2" t="s">
        <v>131</v>
      </c>
      <c r="E857" s="2" t="s">
        <v>159</v>
      </c>
      <c r="F857" s="2">
        <v>3.41</v>
      </c>
      <c r="G857" s="2" t="str">
        <f>Table1_1[[#This Row],[Country Name]]&amp;"|"&amp;Table1_1[[#This Row],[Series Name]]&amp;"|"&amp;Table1_1[[#This Row],[Years]]</f>
        <v>Malaysia|Unemployment, total (% of total labor force) (modeled ILO estimate)|2017</v>
      </c>
    </row>
    <row r="858" spans="1:7" x14ac:dyDescent="0.3">
      <c r="A858" s="2" t="s">
        <v>98</v>
      </c>
      <c r="B858" s="2" t="s">
        <v>92</v>
      </c>
      <c r="C858" s="2" t="s">
        <v>146</v>
      </c>
      <c r="D858" s="2" t="s">
        <v>131</v>
      </c>
      <c r="E858" s="2" t="s">
        <v>160</v>
      </c>
      <c r="F858" s="2">
        <v>3.3</v>
      </c>
      <c r="G858" s="2" t="str">
        <f>Table1_1[[#This Row],[Country Name]]&amp;"|"&amp;Table1_1[[#This Row],[Series Name]]&amp;"|"&amp;Table1_1[[#This Row],[Years]]</f>
        <v>Malaysia|Unemployment, total (% of total labor force) (modeled ILO estimate)|2018</v>
      </c>
    </row>
    <row r="859" spans="1:7" x14ac:dyDescent="0.3">
      <c r="A859" s="2" t="s">
        <v>98</v>
      </c>
      <c r="B859" s="2" t="s">
        <v>92</v>
      </c>
      <c r="C859" s="2" t="s">
        <v>146</v>
      </c>
      <c r="D859" s="2" t="s">
        <v>131</v>
      </c>
      <c r="E859" s="2" t="s">
        <v>161</v>
      </c>
      <c r="F859" s="2">
        <v>3.33</v>
      </c>
      <c r="G859" s="2" t="str">
        <f>Table1_1[[#This Row],[Country Name]]&amp;"|"&amp;Table1_1[[#This Row],[Series Name]]&amp;"|"&amp;Table1_1[[#This Row],[Years]]</f>
        <v>Malaysia|Unemployment, total (% of total labor force) (modeled ILO estimate)|2019</v>
      </c>
    </row>
    <row r="860" spans="1:7" x14ac:dyDescent="0.3">
      <c r="A860" s="2" t="s">
        <v>98</v>
      </c>
      <c r="B860" s="2" t="s">
        <v>92</v>
      </c>
      <c r="C860" s="2" t="s">
        <v>146</v>
      </c>
      <c r="D860" s="2" t="s">
        <v>131</v>
      </c>
      <c r="E860" s="2" t="s">
        <v>162</v>
      </c>
      <c r="F860" s="2">
        <v>4.54</v>
      </c>
      <c r="G860" s="2" t="str">
        <f>Table1_1[[#This Row],[Country Name]]&amp;"|"&amp;Table1_1[[#This Row],[Series Name]]&amp;"|"&amp;Table1_1[[#This Row],[Years]]</f>
        <v>Malaysia|Unemployment, total (% of total labor force) (modeled ILO estimate)|2020</v>
      </c>
    </row>
    <row r="861" spans="1:7" x14ac:dyDescent="0.3">
      <c r="A861" s="2" t="s">
        <v>98</v>
      </c>
      <c r="B861" s="2" t="s">
        <v>92</v>
      </c>
      <c r="C861" s="2" t="s">
        <v>146</v>
      </c>
      <c r="D861" s="2" t="s">
        <v>131</v>
      </c>
      <c r="E861" s="2" t="s">
        <v>163</v>
      </c>
      <c r="F861" s="2">
        <v>4.6399999999999997</v>
      </c>
      <c r="G861" s="2" t="str">
        <f>Table1_1[[#This Row],[Country Name]]&amp;"|"&amp;Table1_1[[#This Row],[Series Name]]&amp;"|"&amp;Table1_1[[#This Row],[Years]]</f>
        <v>Malaysia|Unemployment, total (% of total labor force) (modeled ILO estimate)|2021</v>
      </c>
    </row>
    <row r="862" spans="1:7" x14ac:dyDescent="0.3">
      <c r="A862" s="2" t="s">
        <v>98</v>
      </c>
      <c r="B862" s="2" t="s">
        <v>92</v>
      </c>
      <c r="C862" s="2" t="s">
        <v>146</v>
      </c>
      <c r="D862" s="2" t="s">
        <v>131</v>
      </c>
      <c r="E862" s="2" t="s">
        <v>164</v>
      </c>
      <c r="F862" s="2">
        <v>3.93</v>
      </c>
      <c r="G862" s="2" t="str">
        <f>Table1_1[[#This Row],[Country Name]]&amp;"|"&amp;Table1_1[[#This Row],[Series Name]]&amp;"|"&amp;Table1_1[[#This Row],[Years]]</f>
        <v>Malaysia|Unemployment, total (% of total labor force) (modeled ILO estimate)|2022</v>
      </c>
    </row>
    <row r="863" spans="1:7" x14ac:dyDescent="0.3">
      <c r="A863" s="2" t="s">
        <v>98</v>
      </c>
      <c r="B863" s="2" t="s">
        <v>92</v>
      </c>
      <c r="C863" s="2" t="s">
        <v>146</v>
      </c>
      <c r="D863" s="2" t="s">
        <v>131</v>
      </c>
      <c r="E863" s="2" t="s">
        <v>165</v>
      </c>
      <c r="F863" s="2">
        <v>3.8580000000000001</v>
      </c>
      <c r="G863" s="2" t="str">
        <f>Table1_1[[#This Row],[Country Name]]&amp;"|"&amp;Table1_1[[#This Row],[Series Name]]&amp;"|"&amp;Table1_1[[#This Row],[Years]]</f>
        <v>Malaysia|Unemployment, total (% of total labor force) (modeled ILO estimate)|2023</v>
      </c>
    </row>
    <row r="864" spans="1:7" x14ac:dyDescent="0.3">
      <c r="A864" s="2" t="s">
        <v>98</v>
      </c>
      <c r="B864" s="2" t="s">
        <v>92</v>
      </c>
      <c r="C864" s="2" t="s">
        <v>146</v>
      </c>
      <c r="D864" s="2" t="s">
        <v>131</v>
      </c>
      <c r="E864" s="2" t="s">
        <v>166</v>
      </c>
      <c r="F864" s="2">
        <v>3.8460000000000001</v>
      </c>
      <c r="G864" s="2" t="str">
        <f>Table1_1[[#This Row],[Country Name]]&amp;"|"&amp;Table1_1[[#This Row],[Series Name]]&amp;"|"&amp;Table1_1[[#This Row],[Years]]</f>
        <v>Malaysia|Unemployment, total (% of total labor force) (modeled ILO estimate)|2024</v>
      </c>
    </row>
    <row r="865" spans="1:7" x14ac:dyDescent="0.3">
      <c r="A865" s="2" t="s">
        <v>98</v>
      </c>
      <c r="B865" s="2" t="s">
        <v>92</v>
      </c>
      <c r="C865" s="2" t="s">
        <v>146</v>
      </c>
      <c r="D865" s="2" t="s">
        <v>131</v>
      </c>
      <c r="E865" s="2" t="s">
        <v>167</v>
      </c>
      <c r="F865" s="2">
        <v>3.7639999999999998</v>
      </c>
      <c r="G865" s="2" t="str">
        <f>Table1_1[[#This Row],[Country Name]]&amp;"|"&amp;Table1_1[[#This Row],[Series Name]]&amp;"|"&amp;Table1_1[[#This Row],[Years]]</f>
        <v>Malaysia|Unemployment, total (% of total labor force) (modeled ILO estimate)|2025</v>
      </c>
    </row>
    <row r="866" spans="1:7" x14ac:dyDescent="0.3">
      <c r="A866" s="2" t="s">
        <v>98</v>
      </c>
      <c r="B866" s="2" t="s">
        <v>92</v>
      </c>
      <c r="C866" s="2" t="s">
        <v>34</v>
      </c>
      <c r="D866" s="2" t="s">
        <v>17</v>
      </c>
      <c r="E866" s="2" t="s">
        <v>152</v>
      </c>
      <c r="F866" s="2">
        <v>5</v>
      </c>
      <c r="G866" s="2" t="str">
        <f>Table1_1[[#This Row],[Country Name]]&amp;"|"&amp;Table1_1[[#This Row],[Series Name]]&amp;"|"&amp;Table1_1[[#This Row],[Years]]</f>
        <v>Malaysia|Lending interest rate (%)|2010</v>
      </c>
    </row>
    <row r="867" spans="1:7" x14ac:dyDescent="0.3">
      <c r="A867" s="2" t="s">
        <v>98</v>
      </c>
      <c r="B867" s="2" t="s">
        <v>92</v>
      </c>
      <c r="C867" s="2" t="s">
        <v>34</v>
      </c>
      <c r="D867" s="2" t="s">
        <v>17</v>
      </c>
      <c r="E867" s="2" t="s">
        <v>153</v>
      </c>
      <c r="F867" s="2">
        <v>4.915</v>
      </c>
      <c r="G867" s="2" t="str">
        <f>Table1_1[[#This Row],[Country Name]]&amp;"|"&amp;Table1_1[[#This Row],[Series Name]]&amp;"|"&amp;Table1_1[[#This Row],[Years]]</f>
        <v>Malaysia|Lending interest rate (%)|2011</v>
      </c>
    </row>
    <row r="868" spans="1:7" x14ac:dyDescent="0.3">
      <c r="A868" s="2" t="s">
        <v>98</v>
      </c>
      <c r="B868" s="2" t="s">
        <v>92</v>
      </c>
      <c r="C868" s="2" t="s">
        <v>34</v>
      </c>
      <c r="D868" s="2" t="s">
        <v>17</v>
      </c>
      <c r="E868" s="2" t="s">
        <v>154</v>
      </c>
      <c r="F868" s="2">
        <v>4.7858333333333318</v>
      </c>
      <c r="G868" s="2" t="str">
        <f>Table1_1[[#This Row],[Country Name]]&amp;"|"&amp;Table1_1[[#This Row],[Series Name]]&amp;"|"&amp;Table1_1[[#This Row],[Years]]</f>
        <v>Malaysia|Lending interest rate (%)|2012</v>
      </c>
    </row>
    <row r="869" spans="1:7" x14ac:dyDescent="0.3">
      <c r="A869" s="2" t="s">
        <v>98</v>
      </c>
      <c r="B869" s="2" t="s">
        <v>92</v>
      </c>
      <c r="C869" s="2" t="s">
        <v>34</v>
      </c>
      <c r="D869" s="2" t="s">
        <v>17</v>
      </c>
      <c r="E869" s="2" t="s">
        <v>155</v>
      </c>
      <c r="F869" s="2">
        <v>4.6497999999999999</v>
      </c>
      <c r="G869" s="2" t="str">
        <f>Table1_1[[#This Row],[Country Name]]&amp;"|"&amp;Table1_1[[#This Row],[Series Name]]&amp;"|"&amp;Table1_1[[#This Row],[Years]]</f>
        <v>Malaysia|Lending interest rate (%)|2013</v>
      </c>
    </row>
    <row r="870" spans="1:7" x14ac:dyDescent="0.3">
      <c r="A870" s="2" t="s">
        <v>98</v>
      </c>
      <c r="B870" s="2" t="s">
        <v>92</v>
      </c>
      <c r="C870" s="2" t="s">
        <v>34</v>
      </c>
      <c r="D870" s="2" t="s">
        <v>17</v>
      </c>
      <c r="E870" s="2" t="s">
        <v>156</v>
      </c>
      <c r="F870" s="2">
        <v>4.5870249999999997</v>
      </c>
      <c r="G870" s="2" t="str">
        <f>Table1_1[[#This Row],[Country Name]]&amp;"|"&amp;Table1_1[[#This Row],[Series Name]]&amp;"|"&amp;Table1_1[[#This Row],[Years]]</f>
        <v>Malaysia|Lending interest rate (%)|2014</v>
      </c>
    </row>
    <row r="871" spans="1:7" x14ac:dyDescent="0.3">
      <c r="A871" s="2" t="s">
        <v>98</v>
      </c>
      <c r="B871" s="2" t="s">
        <v>92</v>
      </c>
      <c r="C871" s="2" t="s">
        <v>34</v>
      </c>
      <c r="D871" s="2" t="s">
        <v>17</v>
      </c>
      <c r="E871" s="2" t="s">
        <v>157</v>
      </c>
      <c r="F871" s="2">
        <v>4.5653750000000004</v>
      </c>
      <c r="G871" s="2" t="str">
        <f>Table1_1[[#This Row],[Country Name]]&amp;"|"&amp;Table1_1[[#This Row],[Series Name]]&amp;"|"&amp;Table1_1[[#This Row],[Years]]</f>
        <v>Malaysia|Lending interest rate (%)|2015</v>
      </c>
    </row>
    <row r="872" spans="1:7" x14ac:dyDescent="0.3">
      <c r="A872" s="2" t="s">
        <v>98</v>
      </c>
      <c r="B872" s="2" t="s">
        <v>92</v>
      </c>
      <c r="C872" s="2" t="s">
        <v>34</v>
      </c>
      <c r="D872" s="2" t="s">
        <v>17</v>
      </c>
      <c r="E872" s="2" t="s">
        <v>158</v>
      </c>
      <c r="F872" s="2">
        <v>4.531066666666665</v>
      </c>
      <c r="G872" s="2" t="str">
        <f>Table1_1[[#This Row],[Country Name]]&amp;"|"&amp;Table1_1[[#This Row],[Series Name]]&amp;"|"&amp;Table1_1[[#This Row],[Years]]</f>
        <v>Malaysia|Lending interest rate (%)|2016</v>
      </c>
    </row>
    <row r="873" spans="1:7" x14ac:dyDescent="0.3">
      <c r="A873" s="2" t="s">
        <v>98</v>
      </c>
      <c r="B873" s="2" t="s">
        <v>92</v>
      </c>
      <c r="C873" s="2" t="s">
        <v>34</v>
      </c>
      <c r="D873" s="2" t="s">
        <v>17</v>
      </c>
      <c r="E873" s="2" t="s">
        <v>159</v>
      </c>
      <c r="F873" s="2">
        <v>4.6080780864197521</v>
      </c>
      <c r="G873" s="2" t="str">
        <f>Table1_1[[#This Row],[Country Name]]&amp;"|"&amp;Table1_1[[#This Row],[Series Name]]&amp;"|"&amp;Table1_1[[#This Row],[Years]]</f>
        <v>Malaysia|Lending interest rate (%)|2017</v>
      </c>
    </row>
    <row r="874" spans="1:7" x14ac:dyDescent="0.3">
      <c r="A874" s="2" t="s">
        <v>98</v>
      </c>
      <c r="B874" s="2" t="s">
        <v>92</v>
      </c>
      <c r="C874" s="2" t="s">
        <v>34</v>
      </c>
      <c r="D874" s="2" t="s">
        <v>17</v>
      </c>
      <c r="E874" s="2" t="s">
        <v>160</v>
      </c>
      <c r="F874" s="2">
        <v>4.9284403846153824</v>
      </c>
      <c r="G874" s="2" t="str">
        <f>Table1_1[[#This Row],[Country Name]]&amp;"|"&amp;Table1_1[[#This Row],[Series Name]]&amp;"|"&amp;Table1_1[[#This Row],[Years]]</f>
        <v>Malaysia|Lending interest rate (%)|2018</v>
      </c>
    </row>
    <row r="875" spans="1:7" x14ac:dyDescent="0.3">
      <c r="A875" s="2" t="s">
        <v>98</v>
      </c>
      <c r="B875" s="2" t="s">
        <v>92</v>
      </c>
      <c r="C875" s="2" t="s">
        <v>34</v>
      </c>
      <c r="D875" s="2" t="s">
        <v>17</v>
      </c>
      <c r="E875" s="2" t="s">
        <v>161</v>
      </c>
      <c r="F875" s="2">
        <v>4.8768929487179484</v>
      </c>
      <c r="G875" s="2" t="str">
        <f>Table1_1[[#This Row],[Country Name]]&amp;"|"&amp;Table1_1[[#This Row],[Series Name]]&amp;"|"&amp;Table1_1[[#This Row],[Years]]</f>
        <v>Malaysia|Lending interest rate (%)|2019</v>
      </c>
    </row>
    <row r="876" spans="1:7" x14ac:dyDescent="0.3">
      <c r="A876" s="2" t="s">
        <v>98</v>
      </c>
      <c r="B876" s="2" t="s">
        <v>92</v>
      </c>
      <c r="C876" s="2" t="s">
        <v>34</v>
      </c>
      <c r="D876" s="2" t="s">
        <v>17</v>
      </c>
      <c r="E876" s="2" t="s">
        <v>162</v>
      </c>
      <c r="F876" s="2">
        <v>3.944207692346152</v>
      </c>
      <c r="G876" s="2" t="str">
        <f>Table1_1[[#This Row],[Country Name]]&amp;"|"&amp;Table1_1[[#This Row],[Series Name]]&amp;"|"&amp;Table1_1[[#This Row],[Years]]</f>
        <v>Malaysia|Lending interest rate (%)|2020</v>
      </c>
    </row>
    <row r="877" spans="1:7" x14ac:dyDescent="0.3">
      <c r="A877" s="2" t="s">
        <v>98</v>
      </c>
      <c r="B877" s="2" t="s">
        <v>92</v>
      </c>
      <c r="C877" s="2" t="s">
        <v>34</v>
      </c>
      <c r="D877" s="2" t="s">
        <v>17</v>
      </c>
      <c r="E877" s="2" t="s">
        <v>163</v>
      </c>
      <c r="F877" s="2">
        <v>3.4441064038461549</v>
      </c>
      <c r="G877" s="2" t="str">
        <f>Table1_1[[#This Row],[Country Name]]&amp;"|"&amp;Table1_1[[#This Row],[Series Name]]&amp;"|"&amp;Table1_1[[#This Row],[Years]]</f>
        <v>Malaysia|Lending interest rate (%)|2021</v>
      </c>
    </row>
    <row r="878" spans="1:7" x14ac:dyDescent="0.3">
      <c r="A878" s="2" t="s">
        <v>98</v>
      </c>
      <c r="B878" s="2" t="s">
        <v>92</v>
      </c>
      <c r="C878" s="2" t="s">
        <v>34</v>
      </c>
      <c r="D878" s="2" t="s">
        <v>17</v>
      </c>
      <c r="E878" s="2" t="s">
        <v>164</v>
      </c>
      <c r="F878" s="2">
        <v>3.9080266666666681</v>
      </c>
      <c r="G878" s="2" t="str">
        <f>Table1_1[[#This Row],[Country Name]]&amp;"|"&amp;Table1_1[[#This Row],[Series Name]]&amp;"|"&amp;Table1_1[[#This Row],[Years]]</f>
        <v>Malaysia|Lending interest rate (%)|2022</v>
      </c>
    </row>
    <row r="879" spans="1:7" x14ac:dyDescent="0.3">
      <c r="A879" s="2" t="s">
        <v>98</v>
      </c>
      <c r="B879" s="2" t="s">
        <v>92</v>
      </c>
      <c r="C879" s="2" t="s">
        <v>34</v>
      </c>
      <c r="D879" s="2" t="s">
        <v>17</v>
      </c>
      <c r="E879" s="2" t="s">
        <v>165</v>
      </c>
      <c r="F879" s="2">
        <v>5.3173750064102547</v>
      </c>
      <c r="G879" s="2" t="str">
        <f>Table1_1[[#This Row],[Country Name]]&amp;"|"&amp;Table1_1[[#This Row],[Series Name]]&amp;"|"&amp;Table1_1[[#This Row],[Years]]</f>
        <v>Malaysia|Lending interest rate (%)|2023</v>
      </c>
    </row>
    <row r="880" spans="1:7" x14ac:dyDescent="0.3">
      <c r="A880" s="2" t="s">
        <v>98</v>
      </c>
      <c r="B880" s="2" t="s">
        <v>92</v>
      </c>
      <c r="C880" s="2" t="s">
        <v>34</v>
      </c>
      <c r="D880" s="2" t="s">
        <v>17</v>
      </c>
      <c r="E880" s="2" t="s">
        <v>166</v>
      </c>
      <c r="F880" s="2">
        <v>5.2826810000000002</v>
      </c>
      <c r="G880" s="2" t="str">
        <f>Table1_1[[#This Row],[Country Name]]&amp;"|"&amp;Table1_1[[#This Row],[Series Name]]&amp;"|"&amp;Table1_1[[#This Row],[Years]]</f>
        <v>Malaysia|Lending interest rate (%)|2024</v>
      </c>
    </row>
    <row r="881" spans="1:7" x14ac:dyDescent="0.3">
      <c r="A881" s="2" t="s">
        <v>98</v>
      </c>
      <c r="B881" s="2" t="s">
        <v>92</v>
      </c>
      <c r="C881" s="2" t="s">
        <v>34</v>
      </c>
      <c r="D881" s="2" t="s">
        <v>17</v>
      </c>
      <c r="E881" s="2" t="s">
        <v>167</v>
      </c>
      <c r="F881" s="2">
        <v>4.8247288611111117</v>
      </c>
      <c r="G881" s="2" t="str">
        <f>Table1_1[[#This Row],[Country Name]]&amp;"|"&amp;Table1_1[[#This Row],[Series Name]]&amp;"|"&amp;Table1_1[[#This Row],[Years]]</f>
        <v>Malaysia|Lending interest rate (%)|2025</v>
      </c>
    </row>
    <row r="882" spans="1:7" x14ac:dyDescent="0.3">
      <c r="A882" s="2" t="s">
        <v>98</v>
      </c>
      <c r="B882" s="2" t="s">
        <v>92</v>
      </c>
      <c r="C882" s="2" t="s">
        <v>83</v>
      </c>
      <c r="D882" s="2" t="s">
        <v>72</v>
      </c>
      <c r="E882" s="2" t="s">
        <v>152</v>
      </c>
      <c r="F882" s="2">
        <v>3.22108691472175</v>
      </c>
      <c r="G882" s="2" t="str">
        <f>Table1_1[[#This Row],[Country Name]]&amp;"|"&amp;Table1_1[[#This Row],[Series Name]]&amp;"|"&amp;Table1_1[[#This Row],[Years]]</f>
        <v>Malaysia|Official exchange rate (LCU per US$, period average)|2010</v>
      </c>
    </row>
    <row r="883" spans="1:7" x14ac:dyDescent="0.3">
      <c r="A883" s="2" t="s">
        <v>98</v>
      </c>
      <c r="B883" s="2" t="s">
        <v>92</v>
      </c>
      <c r="C883" s="2" t="s">
        <v>83</v>
      </c>
      <c r="D883" s="2" t="s">
        <v>72</v>
      </c>
      <c r="E883" s="2" t="s">
        <v>153</v>
      </c>
      <c r="F883" s="2">
        <v>3.0600030105205782</v>
      </c>
      <c r="G883" s="2" t="str">
        <f>Table1_1[[#This Row],[Country Name]]&amp;"|"&amp;Table1_1[[#This Row],[Series Name]]&amp;"|"&amp;Table1_1[[#This Row],[Years]]</f>
        <v>Malaysia|Official exchange rate (LCU per US$, period average)|2011</v>
      </c>
    </row>
    <row r="884" spans="1:7" x14ac:dyDescent="0.3">
      <c r="A884" s="2" t="s">
        <v>98</v>
      </c>
      <c r="B884" s="2" t="s">
        <v>92</v>
      </c>
      <c r="C884" s="2" t="s">
        <v>83</v>
      </c>
      <c r="D884" s="2" t="s">
        <v>72</v>
      </c>
      <c r="E884" s="2" t="s">
        <v>154</v>
      </c>
      <c r="F884" s="2">
        <v>3.0888008666218751</v>
      </c>
      <c r="G884" s="2" t="str">
        <f>Table1_1[[#This Row],[Country Name]]&amp;"|"&amp;Table1_1[[#This Row],[Series Name]]&amp;"|"&amp;Table1_1[[#This Row],[Years]]</f>
        <v>Malaysia|Official exchange rate (LCU per US$, period average)|2012</v>
      </c>
    </row>
    <row r="885" spans="1:7" x14ac:dyDescent="0.3">
      <c r="A885" s="2" t="s">
        <v>98</v>
      </c>
      <c r="B885" s="2" t="s">
        <v>92</v>
      </c>
      <c r="C885" s="2" t="s">
        <v>83</v>
      </c>
      <c r="D885" s="2" t="s">
        <v>72</v>
      </c>
      <c r="E885" s="2" t="s">
        <v>155</v>
      </c>
      <c r="F885" s="2">
        <v>3.1509085500972449</v>
      </c>
      <c r="G885" s="2" t="str">
        <f>Table1_1[[#This Row],[Country Name]]&amp;"|"&amp;Table1_1[[#This Row],[Series Name]]&amp;"|"&amp;Table1_1[[#This Row],[Years]]</f>
        <v>Malaysia|Official exchange rate (LCU per US$, period average)|2013</v>
      </c>
    </row>
    <row r="886" spans="1:7" x14ac:dyDescent="0.3">
      <c r="A886" s="2" t="s">
        <v>98</v>
      </c>
      <c r="B886" s="2" t="s">
        <v>92</v>
      </c>
      <c r="C886" s="2" t="s">
        <v>83</v>
      </c>
      <c r="D886" s="2" t="s">
        <v>72</v>
      </c>
      <c r="E886" s="2" t="s">
        <v>156</v>
      </c>
      <c r="F886" s="2">
        <v>3.2728597464304721</v>
      </c>
      <c r="G886" s="2" t="str">
        <f>Table1_1[[#This Row],[Country Name]]&amp;"|"&amp;Table1_1[[#This Row],[Series Name]]&amp;"|"&amp;Table1_1[[#This Row],[Years]]</f>
        <v>Malaysia|Official exchange rate (LCU per US$, period average)|2014</v>
      </c>
    </row>
    <row r="887" spans="1:7" x14ac:dyDescent="0.3">
      <c r="A887" s="2" t="s">
        <v>98</v>
      </c>
      <c r="B887" s="2" t="s">
        <v>92</v>
      </c>
      <c r="C887" s="2" t="s">
        <v>83</v>
      </c>
      <c r="D887" s="2" t="s">
        <v>72</v>
      </c>
      <c r="E887" s="2" t="s">
        <v>157</v>
      </c>
      <c r="F887" s="2">
        <v>3.9055002630276801</v>
      </c>
      <c r="G887" s="2" t="str">
        <f>Table1_1[[#This Row],[Country Name]]&amp;"|"&amp;Table1_1[[#This Row],[Series Name]]&amp;"|"&amp;Table1_1[[#This Row],[Years]]</f>
        <v>Malaysia|Official exchange rate (LCU per US$, period average)|2015</v>
      </c>
    </row>
    <row r="888" spans="1:7" x14ac:dyDescent="0.3">
      <c r="A888" s="2" t="s">
        <v>98</v>
      </c>
      <c r="B888" s="2" t="s">
        <v>92</v>
      </c>
      <c r="C888" s="2" t="s">
        <v>83</v>
      </c>
      <c r="D888" s="2" t="s">
        <v>72</v>
      </c>
      <c r="E888" s="2" t="s">
        <v>158</v>
      </c>
      <c r="F888" s="2">
        <v>4.1483006628787882</v>
      </c>
      <c r="G888" s="2" t="str">
        <f>Table1_1[[#This Row],[Country Name]]&amp;"|"&amp;Table1_1[[#This Row],[Series Name]]&amp;"|"&amp;Table1_1[[#This Row],[Years]]</f>
        <v>Malaysia|Official exchange rate (LCU per US$, period average)|2016</v>
      </c>
    </row>
    <row r="889" spans="1:7" x14ac:dyDescent="0.3">
      <c r="A889" s="2" t="s">
        <v>98</v>
      </c>
      <c r="B889" s="2" t="s">
        <v>92</v>
      </c>
      <c r="C889" s="2" t="s">
        <v>83</v>
      </c>
      <c r="D889" s="2" t="s">
        <v>72</v>
      </c>
      <c r="E889" s="2" t="s">
        <v>159</v>
      </c>
      <c r="F889" s="2">
        <v>4.3004408776112424</v>
      </c>
      <c r="G889" s="2" t="str">
        <f>Table1_1[[#This Row],[Country Name]]&amp;"|"&amp;Table1_1[[#This Row],[Series Name]]&amp;"|"&amp;Table1_1[[#This Row],[Years]]</f>
        <v>Malaysia|Official exchange rate (LCU per US$, period average)|2017</v>
      </c>
    </row>
    <row r="890" spans="1:7" x14ac:dyDescent="0.3">
      <c r="A890" s="2" t="s">
        <v>98</v>
      </c>
      <c r="B890" s="2" t="s">
        <v>92</v>
      </c>
      <c r="C890" s="2" t="s">
        <v>83</v>
      </c>
      <c r="D890" s="2" t="s">
        <v>72</v>
      </c>
      <c r="E890" s="2" t="s">
        <v>160</v>
      </c>
      <c r="F890" s="2">
        <v>4.0351301370680597</v>
      </c>
      <c r="G890" s="2" t="str">
        <f>Table1_1[[#This Row],[Country Name]]&amp;"|"&amp;Table1_1[[#This Row],[Series Name]]&amp;"|"&amp;Table1_1[[#This Row],[Years]]</f>
        <v>Malaysia|Official exchange rate (LCU per US$, period average)|2018</v>
      </c>
    </row>
    <row r="891" spans="1:7" x14ac:dyDescent="0.3">
      <c r="A891" s="2" t="s">
        <v>98</v>
      </c>
      <c r="B891" s="2" t="s">
        <v>92</v>
      </c>
      <c r="C891" s="2" t="s">
        <v>83</v>
      </c>
      <c r="D891" s="2" t="s">
        <v>72</v>
      </c>
      <c r="E891" s="2" t="s">
        <v>161</v>
      </c>
      <c r="F891" s="2">
        <v>4.1424697356973104</v>
      </c>
      <c r="G891" s="2" t="str">
        <f>Table1_1[[#This Row],[Country Name]]&amp;"|"&amp;Table1_1[[#This Row],[Series Name]]&amp;"|"&amp;Table1_1[[#This Row],[Years]]</f>
        <v>Malaysia|Official exchange rate (LCU per US$, period average)|2019</v>
      </c>
    </row>
    <row r="892" spans="1:7" x14ac:dyDescent="0.3">
      <c r="A892" s="2" t="s">
        <v>98</v>
      </c>
      <c r="B892" s="2" t="s">
        <v>92</v>
      </c>
      <c r="C892" s="2" t="s">
        <v>83</v>
      </c>
      <c r="D892" s="2" t="s">
        <v>72</v>
      </c>
      <c r="E892" s="2" t="s">
        <v>162</v>
      </c>
      <c r="F892" s="2">
        <v>4.2034819485188377</v>
      </c>
      <c r="G892" s="2" t="str">
        <f>Table1_1[[#This Row],[Country Name]]&amp;"|"&amp;Table1_1[[#This Row],[Series Name]]&amp;"|"&amp;Table1_1[[#This Row],[Years]]</f>
        <v>Malaysia|Official exchange rate (LCU per US$, period average)|2020</v>
      </c>
    </row>
    <row r="893" spans="1:7" x14ac:dyDescent="0.3">
      <c r="A893" s="2" t="s">
        <v>98</v>
      </c>
      <c r="B893" s="2" t="s">
        <v>92</v>
      </c>
      <c r="C893" s="2" t="s">
        <v>83</v>
      </c>
      <c r="D893" s="2" t="s">
        <v>72</v>
      </c>
      <c r="E893" s="2" t="s">
        <v>163</v>
      </c>
      <c r="F893" s="2">
        <v>4.1432975981772051</v>
      </c>
      <c r="G893" s="2" t="str">
        <f>Table1_1[[#This Row],[Country Name]]&amp;"|"&amp;Table1_1[[#This Row],[Series Name]]&amp;"|"&amp;Table1_1[[#This Row],[Years]]</f>
        <v>Malaysia|Official exchange rate (LCU per US$, period average)|2021</v>
      </c>
    </row>
    <row r="894" spans="1:7" x14ac:dyDescent="0.3">
      <c r="A894" s="2" t="s">
        <v>98</v>
      </c>
      <c r="B894" s="2" t="s">
        <v>92</v>
      </c>
      <c r="C894" s="2" t="s">
        <v>83</v>
      </c>
      <c r="D894" s="2" t="s">
        <v>72</v>
      </c>
      <c r="E894" s="2" t="s">
        <v>164</v>
      </c>
      <c r="F894" s="2">
        <v>4.4010763454007202</v>
      </c>
      <c r="G894" s="2" t="str">
        <f>Table1_1[[#This Row],[Country Name]]&amp;"|"&amp;Table1_1[[#This Row],[Series Name]]&amp;"|"&amp;Table1_1[[#This Row],[Years]]</f>
        <v>Malaysia|Official exchange rate (LCU per US$, period average)|2022</v>
      </c>
    </row>
    <row r="895" spans="1:7" x14ac:dyDescent="0.3">
      <c r="A895" s="2" t="s">
        <v>98</v>
      </c>
      <c r="B895" s="2" t="s">
        <v>92</v>
      </c>
      <c r="C895" s="2" t="s">
        <v>83</v>
      </c>
      <c r="D895" s="2" t="s">
        <v>72</v>
      </c>
      <c r="E895" s="2" t="s">
        <v>165</v>
      </c>
      <c r="F895" s="2">
        <v>4.5606234324089749</v>
      </c>
      <c r="G895" s="2" t="str">
        <f>Table1_1[[#This Row],[Country Name]]&amp;"|"&amp;Table1_1[[#This Row],[Series Name]]&amp;"|"&amp;Table1_1[[#This Row],[Years]]</f>
        <v>Malaysia|Official exchange rate (LCU per US$, period average)|2023</v>
      </c>
    </row>
    <row r="896" spans="1:7" x14ac:dyDescent="0.3">
      <c r="A896" s="2" t="s">
        <v>98</v>
      </c>
      <c r="B896" s="2" t="s">
        <v>92</v>
      </c>
      <c r="C896" s="2" t="s">
        <v>83</v>
      </c>
      <c r="D896" s="2" t="s">
        <v>72</v>
      </c>
      <c r="E896" s="2" t="s">
        <v>166</v>
      </c>
      <c r="F896" s="2">
        <v>4.5764279106858048</v>
      </c>
      <c r="G896" s="2" t="str">
        <f>Table1_1[[#This Row],[Country Name]]&amp;"|"&amp;Table1_1[[#This Row],[Series Name]]&amp;"|"&amp;Table1_1[[#This Row],[Years]]</f>
        <v>Malaysia|Official exchange rate (LCU per US$, period average)|2024</v>
      </c>
    </row>
    <row r="897" spans="1:7" x14ac:dyDescent="0.3">
      <c r="A897" s="2" t="s">
        <v>98</v>
      </c>
      <c r="B897" s="2" t="s">
        <v>92</v>
      </c>
      <c r="C897" s="2" t="s">
        <v>83</v>
      </c>
      <c r="D897" s="2" t="s">
        <v>72</v>
      </c>
      <c r="E897" s="2" t="s">
        <v>167</v>
      </c>
      <c r="F897" s="2">
        <v>4.2844241504824323</v>
      </c>
      <c r="G897" s="2" t="str">
        <f>Table1_1[[#This Row],[Country Name]]&amp;"|"&amp;Table1_1[[#This Row],[Series Name]]&amp;"|"&amp;Table1_1[[#This Row],[Years]]</f>
        <v>Malaysia|Official exchange rate (LCU per US$, period average)|2025</v>
      </c>
    </row>
    <row r="898" spans="1:7" x14ac:dyDescent="0.3">
      <c r="A898" s="2" t="s">
        <v>98</v>
      </c>
      <c r="B898" s="2" t="s">
        <v>92</v>
      </c>
      <c r="C898" s="2" t="s">
        <v>70</v>
      </c>
      <c r="D898" s="2" t="s">
        <v>147</v>
      </c>
      <c r="E898" s="2" t="s">
        <v>152</v>
      </c>
      <c r="F898" s="2">
        <v>86.930295069354329</v>
      </c>
      <c r="G898" s="2" t="str">
        <f>Table1_1[[#This Row],[Country Name]]&amp;"|"&amp;Table1_1[[#This Row],[Series Name]]&amp;"|"&amp;Table1_1[[#This Row],[Years]]</f>
        <v>Malaysia|Exports of goods and services (% of GDP)|2010</v>
      </c>
    </row>
    <row r="899" spans="1:7" x14ac:dyDescent="0.3">
      <c r="A899" s="2" t="s">
        <v>98</v>
      </c>
      <c r="B899" s="2" t="s">
        <v>92</v>
      </c>
      <c r="C899" s="2" t="s">
        <v>70</v>
      </c>
      <c r="D899" s="2" t="s">
        <v>147</v>
      </c>
      <c r="E899" s="2" t="s">
        <v>153</v>
      </c>
      <c r="F899" s="2">
        <v>85.25544210859978</v>
      </c>
      <c r="G899" s="2" t="str">
        <f>Table1_1[[#This Row],[Country Name]]&amp;"|"&amp;Table1_1[[#This Row],[Series Name]]&amp;"|"&amp;Table1_1[[#This Row],[Years]]</f>
        <v>Malaysia|Exports of goods and services (% of GDP)|2011</v>
      </c>
    </row>
    <row r="900" spans="1:7" x14ac:dyDescent="0.3">
      <c r="A900" s="2" t="s">
        <v>98</v>
      </c>
      <c r="B900" s="2" t="s">
        <v>92</v>
      </c>
      <c r="C900" s="2" t="s">
        <v>70</v>
      </c>
      <c r="D900" s="2" t="s">
        <v>147</v>
      </c>
      <c r="E900" s="2" t="s">
        <v>154</v>
      </c>
      <c r="F900" s="2">
        <v>79.299913925531172</v>
      </c>
      <c r="G900" s="2" t="str">
        <f>Table1_1[[#This Row],[Country Name]]&amp;"|"&amp;Table1_1[[#This Row],[Series Name]]&amp;"|"&amp;Table1_1[[#This Row],[Years]]</f>
        <v>Malaysia|Exports of goods and services (% of GDP)|2012</v>
      </c>
    </row>
    <row r="901" spans="1:7" x14ac:dyDescent="0.3">
      <c r="A901" s="2" t="s">
        <v>98</v>
      </c>
      <c r="B901" s="2" t="s">
        <v>92</v>
      </c>
      <c r="C901" s="2" t="s">
        <v>70</v>
      </c>
      <c r="D901" s="2" t="s">
        <v>147</v>
      </c>
      <c r="E901" s="2" t="s">
        <v>155</v>
      </c>
      <c r="F901" s="2">
        <v>75.629041030262684</v>
      </c>
      <c r="G901" s="2" t="str">
        <f>Table1_1[[#This Row],[Country Name]]&amp;"|"&amp;Table1_1[[#This Row],[Series Name]]&amp;"|"&amp;Table1_1[[#This Row],[Years]]</f>
        <v>Malaysia|Exports of goods and services (% of GDP)|2013</v>
      </c>
    </row>
    <row r="902" spans="1:7" x14ac:dyDescent="0.3">
      <c r="A902" s="2" t="s">
        <v>98</v>
      </c>
      <c r="B902" s="2" t="s">
        <v>92</v>
      </c>
      <c r="C902" s="2" t="s">
        <v>70</v>
      </c>
      <c r="D902" s="2" t="s">
        <v>147</v>
      </c>
      <c r="E902" s="2" t="s">
        <v>156</v>
      </c>
      <c r="F902" s="2">
        <v>73.793498625776479</v>
      </c>
      <c r="G902" s="2" t="str">
        <f>Table1_1[[#This Row],[Country Name]]&amp;"|"&amp;Table1_1[[#This Row],[Series Name]]&amp;"|"&amp;Table1_1[[#This Row],[Years]]</f>
        <v>Malaysia|Exports of goods and services (% of GDP)|2014</v>
      </c>
    </row>
    <row r="903" spans="1:7" x14ac:dyDescent="0.3">
      <c r="A903" s="2" t="s">
        <v>98</v>
      </c>
      <c r="B903" s="2" t="s">
        <v>92</v>
      </c>
      <c r="C903" s="2" t="s">
        <v>70</v>
      </c>
      <c r="D903" s="2" t="s">
        <v>147</v>
      </c>
      <c r="E903" s="2" t="s">
        <v>157</v>
      </c>
      <c r="F903" s="2">
        <v>69.44869089707538</v>
      </c>
      <c r="G903" s="2" t="str">
        <f>Table1_1[[#This Row],[Country Name]]&amp;"|"&amp;Table1_1[[#This Row],[Series Name]]&amp;"|"&amp;Table1_1[[#This Row],[Years]]</f>
        <v>Malaysia|Exports of goods and services (% of GDP)|2015</v>
      </c>
    </row>
    <row r="904" spans="1:7" x14ac:dyDescent="0.3">
      <c r="A904" s="2" t="s">
        <v>98</v>
      </c>
      <c r="B904" s="2" t="s">
        <v>92</v>
      </c>
      <c r="C904" s="2" t="s">
        <v>70</v>
      </c>
      <c r="D904" s="2" t="s">
        <v>147</v>
      </c>
      <c r="E904" s="2" t="s">
        <v>158</v>
      </c>
      <c r="F904" s="2">
        <v>66.775445454250786</v>
      </c>
      <c r="G904" s="2" t="str">
        <f>Table1_1[[#This Row],[Country Name]]&amp;"|"&amp;Table1_1[[#This Row],[Series Name]]&amp;"|"&amp;Table1_1[[#This Row],[Years]]</f>
        <v>Malaysia|Exports of goods and services (% of GDP)|2016</v>
      </c>
    </row>
    <row r="905" spans="1:7" x14ac:dyDescent="0.3">
      <c r="A905" s="2" t="s">
        <v>98</v>
      </c>
      <c r="B905" s="2" t="s">
        <v>92</v>
      </c>
      <c r="C905" s="2" t="s">
        <v>70</v>
      </c>
      <c r="D905" s="2" t="s">
        <v>147</v>
      </c>
      <c r="E905" s="2" t="s">
        <v>159</v>
      </c>
      <c r="F905" s="2">
        <v>70.011742508596996</v>
      </c>
      <c r="G905" s="2" t="str">
        <f>Table1_1[[#This Row],[Country Name]]&amp;"|"&amp;Table1_1[[#This Row],[Series Name]]&amp;"|"&amp;Table1_1[[#This Row],[Years]]</f>
        <v>Malaysia|Exports of goods and services (% of GDP)|2017</v>
      </c>
    </row>
    <row r="906" spans="1:7" x14ac:dyDescent="0.3">
      <c r="A906" s="2" t="s">
        <v>98</v>
      </c>
      <c r="B906" s="2" t="s">
        <v>92</v>
      </c>
      <c r="C906" s="2" t="s">
        <v>70</v>
      </c>
      <c r="D906" s="2" t="s">
        <v>147</v>
      </c>
      <c r="E906" s="2" t="s">
        <v>160</v>
      </c>
      <c r="F906" s="2">
        <v>68.55497141968597</v>
      </c>
      <c r="G906" s="2" t="str">
        <f>Table1_1[[#This Row],[Country Name]]&amp;"|"&amp;Table1_1[[#This Row],[Series Name]]&amp;"|"&amp;Table1_1[[#This Row],[Years]]</f>
        <v>Malaysia|Exports of goods and services (% of GDP)|2018</v>
      </c>
    </row>
    <row r="907" spans="1:7" x14ac:dyDescent="0.3">
      <c r="A907" s="2" t="s">
        <v>98</v>
      </c>
      <c r="B907" s="2" t="s">
        <v>92</v>
      </c>
      <c r="C907" s="2" t="s">
        <v>70</v>
      </c>
      <c r="D907" s="2" t="s">
        <v>147</v>
      </c>
      <c r="E907" s="2" t="s">
        <v>161</v>
      </c>
      <c r="F907" s="2">
        <v>65.277766842857559</v>
      </c>
      <c r="G907" s="2" t="str">
        <f>Table1_1[[#This Row],[Country Name]]&amp;"|"&amp;Table1_1[[#This Row],[Series Name]]&amp;"|"&amp;Table1_1[[#This Row],[Years]]</f>
        <v>Malaysia|Exports of goods and services (% of GDP)|2019</v>
      </c>
    </row>
    <row r="908" spans="1:7" x14ac:dyDescent="0.3">
      <c r="A908" s="2" t="s">
        <v>98</v>
      </c>
      <c r="B908" s="2" t="s">
        <v>92</v>
      </c>
      <c r="C908" s="2" t="s">
        <v>70</v>
      </c>
      <c r="D908" s="2" t="s">
        <v>147</v>
      </c>
      <c r="E908" s="2" t="s">
        <v>162</v>
      </c>
      <c r="F908" s="2">
        <v>61.577935905434934</v>
      </c>
      <c r="G908" s="2" t="str">
        <f>Table1_1[[#This Row],[Country Name]]&amp;"|"&amp;Table1_1[[#This Row],[Series Name]]&amp;"|"&amp;Table1_1[[#This Row],[Years]]</f>
        <v>Malaysia|Exports of goods and services (% of GDP)|2020</v>
      </c>
    </row>
    <row r="909" spans="1:7" x14ac:dyDescent="0.3">
      <c r="A909" s="2" t="s">
        <v>98</v>
      </c>
      <c r="B909" s="2" t="s">
        <v>92</v>
      </c>
      <c r="C909" s="2" t="s">
        <v>70</v>
      </c>
      <c r="D909" s="2" t="s">
        <v>147</v>
      </c>
      <c r="E909" s="2" t="s">
        <v>163</v>
      </c>
      <c r="F909" s="2">
        <v>70.633055549333676</v>
      </c>
      <c r="G909" s="2" t="str">
        <f>Table1_1[[#This Row],[Country Name]]&amp;"|"&amp;Table1_1[[#This Row],[Series Name]]&amp;"|"&amp;Table1_1[[#This Row],[Years]]</f>
        <v>Malaysia|Exports of goods and services (% of GDP)|2021</v>
      </c>
    </row>
    <row r="910" spans="1:7" x14ac:dyDescent="0.3">
      <c r="A910" s="2" t="s">
        <v>98</v>
      </c>
      <c r="B910" s="2" t="s">
        <v>92</v>
      </c>
      <c r="C910" s="2" t="s">
        <v>70</v>
      </c>
      <c r="D910" s="2" t="s">
        <v>147</v>
      </c>
      <c r="E910" s="2" t="s">
        <v>164</v>
      </c>
      <c r="F910" s="2">
        <v>76.807797482584391</v>
      </c>
      <c r="G910" s="2" t="str">
        <f>Table1_1[[#This Row],[Country Name]]&amp;"|"&amp;Table1_1[[#This Row],[Series Name]]&amp;"|"&amp;Table1_1[[#This Row],[Years]]</f>
        <v>Malaysia|Exports of goods and services (% of GDP)|2022</v>
      </c>
    </row>
    <row r="911" spans="1:7" x14ac:dyDescent="0.3">
      <c r="A911" s="2" t="s">
        <v>98</v>
      </c>
      <c r="B911" s="2" t="s">
        <v>92</v>
      </c>
      <c r="C911" s="2" t="s">
        <v>70</v>
      </c>
      <c r="D911" s="2" t="s">
        <v>147</v>
      </c>
      <c r="E911" s="2" t="s">
        <v>165</v>
      </c>
      <c r="F911" s="2">
        <v>68.678953565316817</v>
      </c>
      <c r="G911" s="2" t="str">
        <f>Table1_1[[#This Row],[Country Name]]&amp;"|"&amp;Table1_1[[#This Row],[Series Name]]&amp;"|"&amp;Table1_1[[#This Row],[Years]]</f>
        <v>Malaysia|Exports of goods and services (% of GDP)|2023</v>
      </c>
    </row>
    <row r="912" spans="1:7" x14ac:dyDescent="0.3">
      <c r="A912" s="2" t="s">
        <v>98</v>
      </c>
      <c r="B912" s="2" t="s">
        <v>92</v>
      </c>
      <c r="C912" s="2" t="s">
        <v>70</v>
      </c>
      <c r="D912" s="2" t="s">
        <v>147</v>
      </c>
      <c r="E912" s="2" t="s">
        <v>166</v>
      </c>
      <c r="F912" s="2">
        <v>71.34108498299085</v>
      </c>
      <c r="G912" s="2" t="str">
        <f>Table1_1[[#This Row],[Country Name]]&amp;"|"&amp;Table1_1[[#This Row],[Series Name]]&amp;"|"&amp;Table1_1[[#This Row],[Years]]</f>
        <v>Malaysia|Exports of goods and services (% of GDP)|2024</v>
      </c>
    </row>
    <row r="913" spans="1:7" x14ac:dyDescent="0.3">
      <c r="A913" s="2" t="s">
        <v>98</v>
      </c>
      <c r="B913" s="2" t="s">
        <v>92</v>
      </c>
      <c r="C913" s="2" t="s">
        <v>70</v>
      </c>
      <c r="D913" s="2" t="s">
        <v>147</v>
      </c>
      <c r="E913" s="2" t="s">
        <v>167</v>
      </c>
      <c r="F913" s="2">
        <v>70.967789298694669</v>
      </c>
      <c r="G913" s="2" t="str">
        <f>Table1_1[[#This Row],[Country Name]]&amp;"|"&amp;Table1_1[[#This Row],[Series Name]]&amp;"|"&amp;Table1_1[[#This Row],[Years]]</f>
        <v>Malaysia|Exports of goods and services (% of GDP)|2025</v>
      </c>
    </row>
    <row r="914" spans="1:7" x14ac:dyDescent="0.3">
      <c r="A914" s="2" t="s">
        <v>98</v>
      </c>
      <c r="B914" s="2" t="s">
        <v>92</v>
      </c>
      <c r="C914" s="2" t="s">
        <v>56</v>
      </c>
      <c r="D914" s="2" t="s">
        <v>14</v>
      </c>
      <c r="E914" s="2" t="s">
        <v>152</v>
      </c>
      <c r="F914" s="2">
        <v>71.014469817416852</v>
      </c>
      <c r="G914" s="2" t="str">
        <f>Table1_1[[#This Row],[Country Name]]&amp;"|"&amp;Table1_1[[#This Row],[Series Name]]&amp;"|"&amp;Table1_1[[#This Row],[Years]]</f>
        <v>Malaysia|Imports of goods and services (% of GDP)|2010</v>
      </c>
    </row>
    <row r="915" spans="1:7" x14ac:dyDescent="0.3">
      <c r="A915" s="2" t="s">
        <v>98</v>
      </c>
      <c r="B915" s="2" t="s">
        <v>92</v>
      </c>
      <c r="C915" s="2" t="s">
        <v>56</v>
      </c>
      <c r="D915" s="2" t="s">
        <v>14</v>
      </c>
      <c r="E915" s="2" t="s">
        <v>153</v>
      </c>
      <c r="F915" s="2">
        <v>69.682242498626252</v>
      </c>
      <c r="G915" s="2" t="str">
        <f>Table1_1[[#This Row],[Country Name]]&amp;"|"&amp;Table1_1[[#This Row],[Series Name]]&amp;"|"&amp;Table1_1[[#This Row],[Years]]</f>
        <v>Malaysia|Imports of goods and services (% of GDP)|2011</v>
      </c>
    </row>
    <row r="916" spans="1:7" x14ac:dyDescent="0.3">
      <c r="A916" s="2" t="s">
        <v>98</v>
      </c>
      <c r="B916" s="2" t="s">
        <v>92</v>
      </c>
      <c r="C916" s="2" t="s">
        <v>56</v>
      </c>
      <c r="D916" s="2" t="s">
        <v>14</v>
      </c>
      <c r="E916" s="2" t="s">
        <v>154</v>
      </c>
      <c r="F916" s="2">
        <v>68.54184084048218</v>
      </c>
      <c r="G916" s="2" t="str">
        <f>Table1_1[[#This Row],[Country Name]]&amp;"|"&amp;Table1_1[[#This Row],[Series Name]]&amp;"|"&amp;Table1_1[[#This Row],[Years]]</f>
        <v>Malaysia|Imports of goods and services (% of GDP)|2012</v>
      </c>
    </row>
    <row r="917" spans="1:7" x14ac:dyDescent="0.3">
      <c r="A917" s="2" t="s">
        <v>98</v>
      </c>
      <c r="B917" s="2" t="s">
        <v>92</v>
      </c>
      <c r="C917" s="2" t="s">
        <v>56</v>
      </c>
      <c r="D917" s="2" t="s">
        <v>14</v>
      </c>
      <c r="E917" s="2" t="s">
        <v>155</v>
      </c>
      <c r="F917" s="2">
        <v>67.091950434610169</v>
      </c>
      <c r="G917" s="2" t="str">
        <f>Table1_1[[#This Row],[Country Name]]&amp;"|"&amp;Table1_1[[#This Row],[Series Name]]&amp;"|"&amp;Table1_1[[#This Row],[Years]]</f>
        <v>Malaysia|Imports of goods and services (% of GDP)|2013</v>
      </c>
    </row>
    <row r="918" spans="1:7" x14ac:dyDescent="0.3">
      <c r="A918" s="2" t="s">
        <v>98</v>
      </c>
      <c r="B918" s="2" t="s">
        <v>92</v>
      </c>
      <c r="C918" s="2" t="s">
        <v>56</v>
      </c>
      <c r="D918" s="2" t="s">
        <v>14</v>
      </c>
      <c r="E918" s="2" t="s">
        <v>156</v>
      </c>
      <c r="F918" s="2">
        <v>64.51873255106679</v>
      </c>
      <c r="G918" s="2" t="str">
        <f>Table1_1[[#This Row],[Country Name]]&amp;"|"&amp;Table1_1[[#This Row],[Series Name]]&amp;"|"&amp;Table1_1[[#This Row],[Years]]</f>
        <v>Malaysia|Imports of goods and services (% of GDP)|2014</v>
      </c>
    </row>
    <row r="919" spans="1:7" x14ac:dyDescent="0.3">
      <c r="A919" s="2" t="s">
        <v>98</v>
      </c>
      <c r="B919" s="2" t="s">
        <v>92</v>
      </c>
      <c r="C919" s="2" t="s">
        <v>56</v>
      </c>
      <c r="D919" s="2" t="s">
        <v>14</v>
      </c>
      <c r="E919" s="2" t="s">
        <v>157</v>
      </c>
      <c r="F919" s="2">
        <v>61.921381548184364</v>
      </c>
      <c r="G919" s="2" t="str">
        <f>Table1_1[[#This Row],[Country Name]]&amp;"|"&amp;Table1_1[[#This Row],[Series Name]]&amp;"|"&amp;Table1_1[[#This Row],[Years]]</f>
        <v>Malaysia|Imports of goods and services (% of GDP)|2015</v>
      </c>
    </row>
    <row r="920" spans="1:7" x14ac:dyDescent="0.3">
      <c r="A920" s="2" t="s">
        <v>98</v>
      </c>
      <c r="B920" s="2" t="s">
        <v>92</v>
      </c>
      <c r="C920" s="2" t="s">
        <v>56</v>
      </c>
      <c r="D920" s="2" t="s">
        <v>14</v>
      </c>
      <c r="E920" s="2" t="s">
        <v>158</v>
      </c>
      <c r="F920" s="2">
        <v>60.123564571449073</v>
      </c>
      <c r="G920" s="2" t="str">
        <f>Table1_1[[#This Row],[Country Name]]&amp;"|"&amp;Table1_1[[#This Row],[Series Name]]&amp;"|"&amp;Table1_1[[#This Row],[Years]]</f>
        <v>Malaysia|Imports of goods and services (% of GDP)|2016</v>
      </c>
    </row>
    <row r="921" spans="1:7" x14ac:dyDescent="0.3">
      <c r="A921" s="2" t="s">
        <v>98</v>
      </c>
      <c r="B921" s="2" t="s">
        <v>92</v>
      </c>
      <c r="C921" s="2" t="s">
        <v>56</v>
      </c>
      <c r="D921" s="2" t="s">
        <v>14</v>
      </c>
      <c r="E921" s="2" t="s">
        <v>159</v>
      </c>
      <c r="F921" s="2">
        <v>63.143430863359143</v>
      </c>
      <c r="G921" s="2" t="str">
        <f>Table1_1[[#This Row],[Country Name]]&amp;"|"&amp;Table1_1[[#This Row],[Series Name]]&amp;"|"&amp;Table1_1[[#This Row],[Years]]</f>
        <v>Malaysia|Imports of goods and services (% of GDP)|2017</v>
      </c>
    </row>
    <row r="922" spans="1:7" x14ac:dyDescent="0.3">
      <c r="A922" s="2" t="s">
        <v>98</v>
      </c>
      <c r="B922" s="2" t="s">
        <v>92</v>
      </c>
      <c r="C922" s="2" t="s">
        <v>56</v>
      </c>
      <c r="D922" s="2" t="s">
        <v>14</v>
      </c>
      <c r="E922" s="2" t="s">
        <v>160</v>
      </c>
      <c r="F922" s="2">
        <v>61.847654082440286</v>
      </c>
      <c r="G922" s="2" t="str">
        <f>Table1_1[[#This Row],[Country Name]]&amp;"|"&amp;Table1_1[[#This Row],[Series Name]]&amp;"|"&amp;Table1_1[[#This Row],[Years]]</f>
        <v>Malaysia|Imports of goods and services (% of GDP)|2018</v>
      </c>
    </row>
    <row r="923" spans="1:7" x14ac:dyDescent="0.3">
      <c r="A923" s="2" t="s">
        <v>98</v>
      </c>
      <c r="B923" s="2" t="s">
        <v>92</v>
      </c>
      <c r="C923" s="2" t="s">
        <v>56</v>
      </c>
      <c r="D923" s="2" t="s">
        <v>14</v>
      </c>
      <c r="E923" s="2" t="s">
        <v>161</v>
      </c>
      <c r="F923" s="2">
        <v>57.750795185085337</v>
      </c>
      <c r="G923" s="2" t="str">
        <f>Table1_1[[#This Row],[Country Name]]&amp;"|"&amp;Table1_1[[#This Row],[Series Name]]&amp;"|"&amp;Table1_1[[#This Row],[Years]]</f>
        <v>Malaysia|Imports of goods and services (% of GDP)|2019</v>
      </c>
    </row>
    <row r="924" spans="1:7" x14ac:dyDescent="0.3">
      <c r="A924" s="2" t="s">
        <v>98</v>
      </c>
      <c r="B924" s="2" t="s">
        <v>92</v>
      </c>
      <c r="C924" s="2" t="s">
        <v>56</v>
      </c>
      <c r="D924" s="2" t="s">
        <v>14</v>
      </c>
      <c r="E924" s="2" t="s">
        <v>162</v>
      </c>
      <c r="F924" s="2">
        <v>55.210246532203541</v>
      </c>
      <c r="G924" s="2" t="str">
        <f>Table1_1[[#This Row],[Country Name]]&amp;"|"&amp;Table1_1[[#This Row],[Series Name]]&amp;"|"&amp;Table1_1[[#This Row],[Years]]</f>
        <v>Malaysia|Imports of goods and services (% of GDP)|2020</v>
      </c>
    </row>
    <row r="925" spans="1:7" x14ac:dyDescent="0.3">
      <c r="A925" s="2" t="s">
        <v>98</v>
      </c>
      <c r="B925" s="2" t="s">
        <v>92</v>
      </c>
      <c r="C925" s="2" t="s">
        <v>56</v>
      </c>
      <c r="D925" s="2" t="s">
        <v>14</v>
      </c>
      <c r="E925" s="2" t="s">
        <v>163</v>
      </c>
      <c r="F925" s="2">
        <v>63.402939141392864</v>
      </c>
      <c r="G925" s="2" t="str">
        <f>Table1_1[[#This Row],[Country Name]]&amp;"|"&amp;Table1_1[[#This Row],[Series Name]]&amp;"|"&amp;Table1_1[[#This Row],[Years]]</f>
        <v>Malaysia|Imports of goods and services (% of GDP)|2021</v>
      </c>
    </row>
    <row r="926" spans="1:7" x14ac:dyDescent="0.3">
      <c r="A926" s="2" t="s">
        <v>98</v>
      </c>
      <c r="B926" s="2" t="s">
        <v>92</v>
      </c>
      <c r="C926" s="2" t="s">
        <v>56</v>
      </c>
      <c r="D926" s="2" t="s">
        <v>14</v>
      </c>
      <c r="E926" s="2" t="s">
        <v>164</v>
      </c>
      <c r="F926" s="2">
        <v>69.616807271323125</v>
      </c>
      <c r="G926" s="2" t="str">
        <f>Table1_1[[#This Row],[Country Name]]&amp;"|"&amp;Table1_1[[#This Row],[Series Name]]&amp;"|"&amp;Table1_1[[#This Row],[Years]]</f>
        <v>Malaysia|Imports of goods and services (% of GDP)|2022</v>
      </c>
    </row>
    <row r="927" spans="1:7" x14ac:dyDescent="0.3">
      <c r="A927" s="2" t="s">
        <v>98</v>
      </c>
      <c r="B927" s="2" t="s">
        <v>92</v>
      </c>
      <c r="C927" s="2" t="s">
        <v>56</v>
      </c>
      <c r="D927" s="2" t="s">
        <v>14</v>
      </c>
      <c r="E927" s="2" t="s">
        <v>165</v>
      </c>
      <c r="F927" s="2">
        <v>63.914508076282594</v>
      </c>
      <c r="G927" s="2" t="str">
        <f>Table1_1[[#This Row],[Country Name]]&amp;"|"&amp;Table1_1[[#This Row],[Series Name]]&amp;"|"&amp;Table1_1[[#This Row],[Years]]</f>
        <v>Malaysia|Imports of goods and services (% of GDP)|2023</v>
      </c>
    </row>
    <row r="928" spans="1:7" x14ac:dyDescent="0.3">
      <c r="A928" s="2" t="s">
        <v>98</v>
      </c>
      <c r="B928" s="2" t="s">
        <v>92</v>
      </c>
      <c r="C928" s="2" t="s">
        <v>56</v>
      </c>
      <c r="D928" s="2" t="s">
        <v>14</v>
      </c>
      <c r="E928" s="2" t="s">
        <v>166</v>
      </c>
      <c r="F928" s="2">
        <v>66.021486178568225</v>
      </c>
      <c r="G928" s="2" t="str">
        <f>Table1_1[[#This Row],[Country Name]]&amp;"|"&amp;Table1_1[[#This Row],[Series Name]]&amp;"|"&amp;Table1_1[[#This Row],[Years]]</f>
        <v>Malaysia|Imports of goods and services (% of GDP)|2024</v>
      </c>
    </row>
    <row r="929" spans="1:7" x14ac:dyDescent="0.3">
      <c r="A929" s="2" t="s">
        <v>98</v>
      </c>
      <c r="B929" s="2" t="s">
        <v>92</v>
      </c>
      <c r="C929" s="2" t="s">
        <v>56</v>
      </c>
      <c r="D929" s="2" t="s">
        <v>14</v>
      </c>
      <c r="E929" s="2" t="s">
        <v>167</v>
      </c>
      <c r="F929" s="2">
        <v>65.428631024254869</v>
      </c>
      <c r="G929" s="2" t="str">
        <f>Table1_1[[#This Row],[Country Name]]&amp;"|"&amp;Table1_1[[#This Row],[Series Name]]&amp;"|"&amp;Table1_1[[#This Row],[Years]]</f>
        <v>Malaysia|Imports of goods and services (% of GDP)|2025</v>
      </c>
    </row>
    <row r="930" spans="1:7" x14ac:dyDescent="0.3">
      <c r="A930" s="2" t="s">
        <v>98</v>
      </c>
      <c r="B930" s="2" t="s">
        <v>92</v>
      </c>
      <c r="C930" s="2" t="s">
        <v>13</v>
      </c>
      <c r="D930" s="2" t="s">
        <v>123</v>
      </c>
      <c r="E930" s="2" t="s">
        <v>152</v>
      </c>
      <c r="F930" s="2">
        <v>10885801851.6194</v>
      </c>
      <c r="G930" s="2" t="str">
        <f>Table1_1[[#This Row],[Country Name]]&amp;"|"&amp;Table1_1[[#This Row],[Series Name]]&amp;"|"&amp;Table1_1[[#This Row],[Years]]</f>
        <v>Malaysia|Foreign direct investment, net inflows (BoP, current US$)|2010</v>
      </c>
    </row>
    <row r="931" spans="1:7" x14ac:dyDescent="0.3">
      <c r="A931" s="2" t="s">
        <v>98</v>
      </c>
      <c r="B931" s="2" t="s">
        <v>92</v>
      </c>
      <c r="C931" s="2" t="s">
        <v>13</v>
      </c>
      <c r="D931" s="2" t="s">
        <v>123</v>
      </c>
      <c r="E931" s="2" t="s">
        <v>153</v>
      </c>
      <c r="F931" s="2">
        <v>15119439203.9543</v>
      </c>
      <c r="G931" s="2" t="str">
        <f>Table1_1[[#This Row],[Country Name]]&amp;"|"&amp;Table1_1[[#This Row],[Series Name]]&amp;"|"&amp;Table1_1[[#This Row],[Years]]</f>
        <v>Malaysia|Foreign direct investment, net inflows (BoP, current US$)|2011</v>
      </c>
    </row>
    <row r="932" spans="1:7" x14ac:dyDescent="0.3">
      <c r="A932" s="2" t="s">
        <v>98</v>
      </c>
      <c r="B932" s="2" t="s">
        <v>92</v>
      </c>
      <c r="C932" s="2" t="s">
        <v>13</v>
      </c>
      <c r="D932" s="2" t="s">
        <v>123</v>
      </c>
      <c r="E932" s="2" t="s">
        <v>154</v>
      </c>
      <c r="F932" s="2">
        <v>8895774250.70401</v>
      </c>
      <c r="G932" s="2" t="str">
        <f>Table1_1[[#This Row],[Country Name]]&amp;"|"&amp;Table1_1[[#This Row],[Series Name]]&amp;"|"&amp;Table1_1[[#This Row],[Years]]</f>
        <v>Malaysia|Foreign direct investment, net inflows (BoP, current US$)|2012</v>
      </c>
    </row>
    <row r="933" spans="1:7" x14ac:dyDescent="0.3">
      <c r="A933" s="2" t="s">
        <v>98</v>
      </c>
      <c r="B933" s="2" t="s">
        <v>92</v>
      </c>
      <c r="C933" s="2" t="s">
        <v>13</v>
      </c>
      <c r="D933" s="2" t="s">
        <v>123</v>
      </c>
      <c r="E933" s="2" t="s">
        <v>155</v>
      </c>
      <c r="F933" s="2">
        <v>11296279513.9209</v>
      </c>
      <c r="G933" s="2" t="str">
        <f>Table1_1[[#This Row],[Country Name]]&amp;"|"&amp;Table1_1[[#This Row],[Series Name]]&amp;"|"&amp;Table1_1[[#This Row],[Years]]</f>
        <v>Malaysia|Foreign direct investment, net inflows (BoP, current US$)|2013</v>
      </c>
    </row>
    <row r="934" spans="1:7" x14ac:dyDescent="0.3">
      <c r="A934" s="2" t="s">
        <v>98</v>
      </c>
      <c r="B934" s="2" t="s">
        <v>92</v>
      </c>
      <c r="C934" s="2" t="s">
        <v>13</v>
      </c>
      <c r="D934" s="2" t="s">
        <v>123</v>
      </c>
      <c r="E934" s="2" t="s">
        <v>156</v>
      </c>
      <c r="F934" s="2">
        <v>10619431582.9781</v>
      </c>
      <c r="G934" s="2" t="str">
        <f>Table1_1[[#This Row],[Country Name]]&amp;"|"&amp;Table1_1[[#This Row],[Series Name]]&amp;"|"&amp;Table1_1[[#This Row],[Years]]</f>
        <v>Malaysia|Foreign direct investment, net inflows (BoP, current US$)|2014</v>
      </c>
    </row>
    <row r="935" spans="1:7" x14ac:dyDescent="0.3">
      <c r="A935" s="2" t="s">
        <v>98</v>
      </c>
      <c r="B935" s="2" t="s">
        <v>92</v>
      </c>
      <c r="C935" s="2" t="s">
        <v>13</v>
      </c>
      <c r="D935" s="2" t="s">
        <v>123</v>
      </c>
      <c r="E935" s="2" t="s">
        <v>157</v>
      </c>
      <c r="F935" s="2">
        <v>9857162111.8232899</v>
      </c>
      <c r="G935" s="2" t="str">
        <f>Table1_1[[#This Row],[Country Name]]&amp;"|"&amp;Table1_1[[#This Row],[Series Name]]&amp;"|"&amp;Table1_1[[#This Row],[Years]]</f>
        <v>Malaysia|Foreign direct investment, net inflows (BoP, current US$)|2015</v>
      </c>
    </row>
    <row r="936" spans="1:7" x14ac:dyDescent="0.3">
      <c r="A936" s="2" t="s">
        <v>98</v>
      </c>
      <c r="B936" s="2" t="s">
        <v>92</v>
      </c>
      <c r="C936" s="2" t="s">
        <v>13</v>
      </c>
      <c r="D936" s="2" t="s">
        <v>123</v>
      </c>
      <c r="E936" s="2" t="s">
        <v>158</v>
      </c>
      <c r="F936" s="2">
        <v>13470089920.806999</v>
      </c>
      <c r="G936" s="2" t="str">
        <f>Table1_1[[#This Row],[Country Name]]&amp;"|"&amp;Table1_1[[#This Row],[Series Name]]&amp;"|"&amp;Table1_1[[#This Row],[Years]]</f>
        <v>Malaysia|Foreign direct investment, net inflows (BoP, current US$)|2016</v>
      </c>
    </row>
    <row r="937" spans="1:7" x14ac:dyDescent="0.3">
      <c r="A937" s="2" t="s">
        <v>98</v>
      </c>
      <c r="B937" s="2" t="s">
        <v>92</v>
      </c>
      <c r="C937" s="2" t="s">
        <v>13</v>
      </c>
      <c r="D937" s="2" t="s">
        <v>123</v>
      </c>
      <c r="E937" s="2" t="s">
        <v>159</v>
      </c>
      <c r="F937" s="2">
        <v>9368469822.6614494</v>
      </c>
      <c r="G937" s="2" t="str">
        <f>Table1_1[[#This Row],[Country Name]]&amp;"|"&amp;Table1_1[[#This Row],[Series Name]]&amp;"|"&amp;Table1_1[[#This Row],[Years]]</f>
        <v>Malaysia|Foreign direct investment, net inflows (BoP, current US$)|2017</v>
      </c>
    </row>
    <row r="938" spans="1:7" x14ac:dyDescent="0.3">
      <c r="A938" s="2" t="s">
        <v>98</v>
      </c>
      <c r="B938" s="2" t="s">
        <v>92</v>
      </c>
      <c r="C938" s="2" t="s">
        <v>13</v>
      </c>
      <c r="D938" s="2" t="s">
        <v>123</v>
      </c>
      <c r="E938" s="2" t="s">
        <v>160</v>
      </c>
      <c r="F938" s="2">
        <v>8304480741.6526604</v>
      </c>
      <c r="G938" s="2" t="str">
        <f>Table1_1[[#This Row],[Country Name]]&amp;"|"&amp;Table1_1[[#This Row],[Series Name]]&amp;"|"&amp;Table1_1[[#This Row],[Years]]</f>
        <v>Malaysia|Foreign direct investment, net inflows (BoP, current US$)|2018</v>
      </c>
    </row>
    <row r="939" spans="1:7" x14ac:dyDescent="0.3">
      <c r="A939" s="2" t="s">
        <v>98</v>
      </c>
      <c r="B939" s="2" t="s">
        <v>92</v>
      </c>
      <c r="C939" s="2" t="s">
        <v>13</v>
      </c>
      <c r="D939" s="2" t="s">
        <v>123</v>
      </c>
      <c r="E939" s="2" t="s">
        <v>161</v>
      </c>
      <c r="F939" s="2">
        <v>9154921685.0393391</v>
      </c>
      <c r="G939" s="2" t="str">
        <f>Table1_1[[#This Row],[Country Name]]&amp;"|"&amp;Table1_1[[#This Row],[Series Name]]&amp;"|"&amp;Table1_1[[#This Row],[Years]]</f>
        <v>Malaysia|Foreign direct investment, net inflows (BoP, current US$)|2019</v>
      </c>
    </row>
    <row r="940" spans="1:7" x14ac:dyDescent="0.3">
      <c r="A940" s="2" t="s">
        <v>98</v>
      </c>
      <c r="B940" s="2" t="s">
        <v>92</v>
      </c>
      <c r="C940" s="2" t="s">
        <v>13</v>
      </c>
      <c r="D940" s="2" t="s">
        <v>123</v>
      </c>
      <c r="E940" s="2" t="s">
        <v>162</v>
      </c>
      <c r="F940" s="2">
        <v>4058769678.6423101</v>
      </c>
      <c r="G940" s="2" t="str">
        <f>Table1_1[[#This Row],[Country Name]]&amp;"|"&amp;Table1_1[[#This Row],[Series Name]]&amp;"|"&amp;Table1_1[[#This Row],[Years]]</f>
        <v>Malaysia|Foreign direct investment, net inflows (BoP, current US$)|2020</v>
      </c>
    </row>
    <row r="941" spans="1:7" x14ac:dyDescent="0.3">
      <c r="A941" s="2" t="s">
        <v>98</v>
      </c>
      <c r="B941" s="2" t="s">
        <v>92</v>
      </c>
      <c r="C941" s="2" t="s">
        <v>13</v>
      </c>
      <c r="D941" s="2" t="s">
        <v>123</v>
      </c>
      <c r="E941" s="2" t="s">
        <v>163</v>
      </c>
      <c r="F941" s="2">
        <v>20245157326.802299</v>
      </c>
      <c r="G941" s="2" t="str">
        <f>Table1_1[[#This Row],[Country Name]]&amp;"|"&amp;Table1_1[[#This Row],[Series Name]]&amp;"|"&amp;Table1_1[[#This Row],[Years]]</f>
        <v>Malaysia|Foreign direct investment, net inflows (BoP, current US$)|2021</v>
      </c>
    </row>
    <row r="942" spans="1:7" x14ac:dyDescent="0.3">
      <c r="A942" s="2" t="s">
        <v>98</v>
      </c>
      <c r="B942" s="2" t="s">
        <v>92</v>
      </c>
      <c r="C942" s="2" t="s">
        <v>13</v>
      </c>
      <c r="D942" s="2" t="s">
        <v>123</v>
      </c>
      <c r="E942" s="2" t="s">
        <v>164</v>
      </c>
      <c r="F942" s="2">
        <v>15027992710.614401</v>
      </c>
      <c r="G942" s="2" t="str">
        <f>Table1_1[[#This Row],[Country Name]]&amp;"|"&amp;Table1_1[[#This Row],[Series Name]]&amp;"|"&amp;Table1_1[[#This Row],[Years]]</f>
        <v>Malaysia|Foreign direct investment, net inflows (BoP, current US$)|2022</v>
      </c>
    </row>
    <row r="943" spans="1:7" x14ac:dyDescent="0.3">
      <c r="A943" s="2" t="s">
        <v>98</v>
      </c>
      <c r="B943" s="2" t="s">
        <v>92</v>
      </c>
      <c r="C943" s="2" t="s">
        <v>13</v>
      </c>
      <c r="D943" s="2" t="s">
        <v>123</v>
      </c>
      <c r="E943" s="2" t="s">
        <v>165</v>
      </c>
      <c r="F943" s="2">
        <v>7918601050.2363501</v>
      </c>
      <c r="G943" s="2" t="str">
        <f>Table1_1[[#This Row],[Country Name]]&amp;"|"&amp;Table1_1[[#This Row],[Series Name]]&amp;"|"&amp;Table1_1[[#This Row],[Years]]</f>
        <v>Malaysia|Foreign direct investment, net inflows (BoP, current US$)|2023</v>
      </c>
    </row>
    <row r="944" spans="1:7" x14ac:dyDescent="0.3">
      <c r="A944" s="2" t="s">
        <v>98</v>
      </c>
      <c r="B944" s="2" t="s">
        <v>92</v>
      </c>
      <c r="C944" s="2" t="s">
        <v>13</v>
      </c>
      <c r="D944" s="2" t="s">
        <v>123</v>
      </c>
      <c r="E944" s="2" t="s">
        <v>166</v>
      </c>
      <c r="F944" s="2">
        <v>15593246086.766399</v>
      </c>
      <c r="G944" s="2" t="str">
        <f>Table1_1[[#This Row],[Country Name]]&amp;"|"&amp;Table1_1[[#This Row],[Series Name]]&amp;"|"&amp;Table1_1[[#This Row],[Years]]</f>
        <v>Malaysia|Foreign direct investment, net inflows (BoP, current US$)|2024</v>
      </c>
    </row>
    <row r="945" spans="1:7" x14ac:dyDescent="0.3">
      <c r="A945" s="2" t="s">
        <v>98</v>
      </c>
      <c r="B945" s="2" t="s">
        <v>92</v>
      </c>
      <c r="C945" s="2" t="s">
        <v>13</v>
      </c>
      <c r="D945" s="2" t="s">
        <v>123</v>
      </c>
      <c r="E945" s="2" t="s">
        <v>167</v>
      </c>
      <c r="G945" s="2" t="str">
        <f>Table1_1[[#This Row],[Country Name]]&amp;"|"&amp;Table1_1[[#This Row],[Series Name]]&amp;"|"&amp;Table1_1[[#This Row],[Years]]</f>
        <v>Malaysia|Foreign direct investment, net inflows (BoP, current US$)|2025</v>
      </c>
    </row>
    <row r="946" spans="1:7" x14ac:dyDescent="0.3">
      <c r="A946" s="2" t="s">
        <v>98</v>
      </c>
      <c r="B946" s="2" t="s">
        <v>92</v>
      </c>
      <c r="C946" s="2" t="s">
        <v>107</v>
      </c>
      <c r="D946" s="2" t="s">
        <v>106</v>
      </c>
      <c r="E946" s="2" t="s">
        <v>152</v>
      </c>
      <c r="F946" s="2">
        <v>28655776</v>
      </c>
      <c r="G946" s="2" t="str">
        <f>Table1_1[[#This Row],[Country Name]]&amp;"|"&amp;Table1_1[[#This Row],[Series Name]]&amp;"|"&amp;Table1_1[[#This Row],[Years]]</f>
        <v>Malaysia|Population, total|2010</v>
      </c>
    </row>
    <row r="947" spans="1:7" x14ac:dyDescent="0.3">
      <c r="A947" s="2" t="s">
        <v>98</v>
      </c>
      <c r="B947" s="2" t="s">
        <v>92</v>
      </c>
      <c r="C947" s="2" t="s">
        <v>107</v>
      </c>
      <c r="D947" s="2" t="s">
        <v>106</v>
      </c>
      <c r="E947" s="2" t="s">
        <v>153</v>
      </c>
      <c r="F947" s="2">
        <v>29162039</v>
      </c>
      <c r="G947" s="2" t="str">
        <f>Table1_1[[#This Row],[Country Name]]&amp;"|"&amp;Table1_1[[#This Row],[Series Name]]&amp;"|"&amp;Table1_1[[#This Row],[Years]]</f>
        <v>Malaysia|Population, total|2011</v>
      </c>
    </row>
    <row r="948" spans="1:7" x14ac:dyDescent="0.3">
      <c r="A948" s="2" t="s">
        <v>98</v>
      </c>
      <c r="B948" s="2" t="s">
        <v>92</v>
      </c>
      <c r="C948" s="2" t="s">
        <v>107</v>
      </c>
      <c r="D948" s="2" t="s">
        <v>106</v>
      </c>
      <c r="E948" s="2" t="s">
        <v>154</v>
      </c>
      <c r="F948" s="2">
        <v>29662831</v>
      </c>
      <c r="G948" s="2" t="str">
        <f>Table1_1[[#This Row],[Country Name]]&amp;"|"&amp;Table1_1[[#This Row],[Series Name]]&amp;"|"&amp;Table1_1[[#This Row],[Years]]</f>
        <v>Malaysia|Population, total|2012</v>
      </c>
    </row>
    <row r="949" spans="1:7" x14ac:dyDescent="0.3">
      <c r="A949" s="2" t="s">
        <v>98</v>
      </c>
      <c r="B949" s="2" t="s">
        <v>92</v>
      </c>
      <c r="C949" s="2" t="s">
        <v>107</v>
      </c>
      <c r="D949" s="2" t="s">
        <v>106</v>
      </c>
      <c r="E949" s="2" t="s">
        <v>155</v>
      </c>
      <c r="F949" s="2">
        <v>30174265</v>
      </c>
      <c r="G949" s="2" t="str">
        <f>Table1_1[[#This Row],[Country Name]]&amp;"|"&amp;Table1_1[[#This Row],[Series Name]]&amp;"|"&amp;Table1_1[[#This Row],[Years]]</f>
        <v>Malaysia|Population, total|2013</v>
      </c>
    </row>
    <row r="950" spans="1:7" x14ac:dyDescent="0.3">
      <c r="A950" s="2" t="s">
        <v>98</v>
      </c>
      <c r="B950" s="2" t="s">
        <v>92</v>
      </c>
      <c r="C950" s="2" t="s">
        <v>107</v>
      </c>
      <c r="D950" s="2" t="s">
        <v>106</v>
      </c>
      <c r="E950" s="2" t="s">
        <v>156</v>
      </c>
      <c r="F950" s="2">
        <v>30696137</v>
      </c>
      <c r="G950" s="2" t="str">
        <f>Table1_1[[#This Row],[Country Name]]&amp;"|"&amp;Table1_1[[#This Row],[Series Name]]&amp;"|"&amp;Table1_1[[#This Row],[Years]]</f>
        <v>Malaysia|Population, total|2014</v>
      </c>
    </row>
    <row r="951" spans="1:7" x14ac:dyDescent="0.3">
      <c r="A951" s="2" t="s">
        <v>98</v>
      </c>
      <c r="B951" s="2" t="s">
        <v>92</v>
      </c>
      <c r="C951" s="2" t="s">
        <v>107</v>
      </c>
      <c r="D951" s="2" t="s">
        <v>106</v>
      </c>
      <c r="E951" s="2" t="s">
        <v>157</v>
      </c>
      <c r="F951" s="2">
        <v>31232798</v>
      </c>
      <c r="G951" s="2" t="str">
        <f>Table1_1[[#This Row],[Country Name]]&amp;"|"&amp;Table1_1[[#This Row],[Series Name]]&amp;"|"&amp;Table1_1[[#This Row],[Years]]</f>
        <v>Malaysia|Population, total|2015</v>
      </c>
    </row>
    <row r="952" spans="1:7" x14ac:dyDescent="0.3">
      <c r="A952" s="2" t="s">
        <v>98</v>
      </c>
      <c r="B952" s="2" t="s">
        <v>92</v>
      </c>
      <c r="C952" s="2" t="s">
        <v>107</v>
      </c>
      <c r="D952" s="2" t="s">
        <v>106</v>
      </c>
      <c r="E952" s="2" t="s">
        <v>158</v>
      </c>
      <c r="F952" s="2">
        <v>31789685</v>
      </c>
      <c r="G952" s="2" t="str">
        <f>Table1_1[[#This Row],[Country Name]]&amp;"|"&amp;Table1_1[[#This Row],[Series Name]]&amp;"|"&amp;Table1_1[[#This Row],[Years]]</f>
        <v>Malaysia|Population, total|2016</v>
      </c>
    </row>
    <row r="953" spans="1:7" x14ac:dyDescent="0.3">
      <c r="A953" s="2" t="s">
        <v>98</v>
      </c>
      <c r="B953" s="2" t="s">
        <v>92</v>
      </c>
      <c r="C953" s="2" t="s">
        <v>107</v>
      </c>
      <c r="D953" s="2" t="s">
        <v>106</v>
      </c>
      <c r="E953" s="2" t="s">
        <v>159</v>
      </c>
      <c r="F953" s="2">
        <v>32355644</v>
      </c>
      <c r="G953" s="2" t="str">
        <f>Table1_1[[#This Row],[Country Name]]&amp;"|"&amp;Table1_1[[#This Row],[Series Name]]&amp;"|"&amp;Table1_1[[#This Row],[Years]]</f>
        <v>Malaysia|Population, total|2017</v>
      </c>
    </row>
    <row r="954" spans="1:7" x14ac:dyDescent="0.3">
      <c r="A954" s="2" t="s">
        <v>98</v>
      </c>
      <c r="B954" s="2" t="s">
        <v>92</v>
      </c>
      <c r="C954" s="2" t="s">
        <v>107</v>
      </c>
      <c r="D954" s="2" t="s">
        <v>106</v>
      </c>
      <c r="E954" s="2" t="s">
        <v>160</v>
      </c>
      <c r="F954" s="2">
        <v>32910967</v>
      </c>
      <c r="G954" s="2" t="str">
        <f>Table1_1[[#This Row],[Country Name]]&amp;"|"&amp;Table1_1[[#This Row],[Series Name]]&amp;"|"&amp;Table1_1[[#This Row],[Years]]</f>
        <v>Malaysia|Population, total|2018</v>
      </c>
    </row>
    <row r="955" spans="1:7" x14ac:dyDescent="0.3">
      <c r="A955" s="2" t="s">
        <v>98</v>
      </c>
      <c r="B955" s="2" t="s">
        <v>92</v>
      </c>
      <c r="C955" s="2" t="s">
        <v>107</v>
      </c>
      <c r="D955" s="2" t="s">
        <v>106</v>
      </c>
      <c r="E955" s="2" t="s">
        <v>161</v>
      </c>
      <c r="F955" s="2">
        <v>33440596</v>
      </c>
      <c r="G955" s="2" t="str">
        <f>Table1_1[[#This Row],[Country Name]]&amp;"|"&amp;Table1_1[[#This Row],[Series Name]]&amp;"|"&amp;Table1_1[[#This Row],[Years]]</f>
        <v>Malaysia|Population, total|2019</v>
      </c>
    </row>
    <row r="956" spans="1:7" x14ac:dyDescent="0.3">
      <c r="A956" s="2" t="s">
        <v>98</v>
      </c>
      <c r="B956" s="2" t="s">
        <v>92</v>
      </c>
      <c r="C956" s="2" t="s">
        <v>107</v>
      </c>
      <c r="D956" s="2" t="s">
        <v>106</v>
      </c>
      <c r="E956" s="2" t="s">
        <v>162</v>
      </c>
      <c r="F956" s="2">
        <v>33889558</v>
      </c>
      <c r="G956" s="2" t="str">
        <f>Table1_1[[#This Row],[Country Name]]&amp;"|"&amp;Table1_1[[#This Row],[Series Name]]&amp;"|"&amp;Table1_1[[#This Row],[Years]]</f>
        <v>Malaysia|Population, total|2020</v>
      </c>
    </row>
    <row r="957" spans="1:7" x14ac:dyDescent="0.3">
      <c r="A957" s="2" t="s">
        <v>98</v>
      </c>
      <c r="B957" s="2" t="s">
        <v>92</v>
      </c>
      <c r="C957" s="2" t="s">
        <v>107</v>
      </c>
      <c r="D957" s="2" t="s">
        <v>106</v>
      </c>
      <c r="E957" s="2" t="s">
        <v>163</v>
      </c>
      <c r="F957" s="2">
        <v>34282399</v>
      </c>
      <c r="G957" s="2" t="str">
        <f>Table1_1[[#This Row],[Country Name]]&amp;"|"&amp;Table1_1[[#This Row],[Series Name]]&amp;"|"&amp;Table1_1[[#This Row],[Years]]</f>
        <v>Malaysia|Population, total|2021</v>
      </c>
    </row>
    <row r="958" spans="1:7" x14ac:dyDescent="0.3">
      <c r="A958" s="2" t="s">
        <v>98</v>
      </c>
      <c r="B958" s="2" t="s">
        <v>92</v>
      </c>
      <c r="C958" s="2" t="s">
        <v>107</v>
      </c>
      <c r="D958" s="2" t="s">
        <v>106</v>
      </c>
      <c r="E958" s="2" t="s">
        <v>164</v>
      </c>
      <c r="F958" s="2">
        <v>34695493</v>
      </c>
      <c r="G958" s="2" t="str">
        <f>Table1_1[[#This Row],[Country Name]]&amp;"|"&amp;Table1_1[[#This Row],[Series Name]]&amp;"|"&amp;Table1_1[[#This Row],[Years]]</f>
        <v>Malaysia|Population, total|2022</v>
      </c>
    </row>
    <row r="959" spans="1:7" x14ac:dyDescent="0.3">
      <c r="A959" s="2" t="s">
        <v>98</v>
      </c>
      <c r="B959" s="2" t="s">
        <v>92</v>
      </c>
      <c r="C959" s="2" t="s">
        <v>107</v>
      </c>
      <c r="D959" s="2" t="s">
        <v>106</v>
      </c>
      <c r="E959" s="2" t="s">
        <v>165</v>
      </c>
      <c r="F959" s="2">
        <v>35126298</v>
      </c>
      <c r="G959" s="2" t="str">
        <f>Table1_1[[#This Row],[Country Name]]&amp;"|"&amp;Table1_1[[#This Row],[Series Name]]&amp;"|"&amp;Table1_1[[#This Row],[Years]]</f>
        <v>Malaysia|Population, total|2023</v>
      </c>
    </row>
    <row r="960" spans="1:7" x14ac:dyDescent="0.3">
      <c r="A960" s="2" t="s">
        <v>98</v>
      </c>
      <c r="B960" s="2" t="s">
        <v>92</v>
      </c>
      <c r="C960" s="2" t="s">
        <v>107</v>
      </c>
      <c r="D960" s="2" t="s">
        <v>106</v>
      </c>
      <c r="E960" s="2" t="s">
        <v>166</v>
      </c>
      <c r="F960" s="2">
        <v>35557673</v>
      </c>
      <c r="G960" s="2" t="str">
        <f>Table1_1[[#This Row],[Country Name]]&amp;"|"&amp;Table1_1[[#This Row],[Series Name]]&amp;"|"&amp;Table1_1[[#This Row],[Years]]</f>
        <v>Malaysia|Population, total|2024</v>
      </c>
    </row>
    <row r="961" spans="1:7" x14ac:dyDescent="0.3">
      <c r="A961" s="2" t="s">
        <v>98</v>
      </c>
      <c r="B961" s="2" t="s">
        <v>92</v>
      </c>
      <c r="C961" s="2" t="s">
        <v>107</v>
      </c>
      <c r="D961" s="2" t="s">
        <v>106</v>
      </c>
      <c r="E961" s="2" t="s">
        <v>167</v>
      </c>
      <c r="F961" s="2">
        <v>35977838</v>
      </c>
      <c r="G961" s="2" t="str">
        <f>Table1_1[[#This Row],[Country Name]]&amp;"|"&amp;Table1_1[[#This Row],[Series Name]]&amp;"|"&amp;Table1_1[[#This Row],[Years]]</f>
        <v>Malaysia|Population, total|2025</v>
      </c>
    </row>
    <row r="962" spans="1:7" x14ac:dyDescent="0.3">
      <c r="A962" s="2" t="s">
        <v>149</v>
      </c>
      <c r="B962" s="2" t="s">
        <v>111</v>
      </c>
      <c r="C962" s="2" t="s">
        <v>25</v>
      </c>
      <c r="D962" s="2" t="s">
        <v>89</v>
      </c>
      <c r="E962" s="2" t="s">
        <v>152</v>
      </c>
      <c r="F962" s="2">
        <v>3467093769666.6733</v>
      </c>
      <c r="G962" s="2" t="str">
        <f>Table1_1[[#This Row],[Country Name]]&amp;"|"&amp;Table1_1[[#This Row],[Series Name]]&amp;"|"&amp;Table1_1[[#This Row],[Years]]</f>
        <v>Germany|GDP (current US$)|2010</v>
      </c>
    </row>
    <row r="963" spans="1:7" x14ac:dyDescent="0.3">
      <c r="A963" s="2" t="s">
        <v>149</v>
      </c>
      <c r="B963" s="2" t="s">
        <v>111</v>
      </c>
      <c r="C963" s="2" t="s">
        <v>25</v>
      </c>
      <c r="D963" s="2" t="s">
        <v>89</v>
      </c>
      <c r="E963" s="2" t="s">
        <v>153</v>
      </c>
      <c r="F963" s="2">
        <v>3823575803793.7817</v>
      </c>
      <c r="G963" s="2" t="str">
        <f>Table1_1[[#This Row],[Country Name]]&amp;"|"&amp;Table1_1[[#This Row],[Series Name]]&amp;"|"&amp;Table1_1[[#This Row],[Years]]</f>
        <v>Germany|GDP (current US$)|2011</v>
      </c>
    </row>
    <row r="964" spans="1:7" x14ac:dyDescent="0.3">
      <c r="A964" s="2" t="s">
        <v>149</v>
      </c>
      <c r="B964" s="2" t="s">
        <v>111</v>
      </c>
      <c r="C964" s="2" t="s">
        <v>25</v>
      </c>
      <c r="D964" s="2" t="s">
        <v>89</v>
      </c>
      <c r="E964" s="2" t="s">
        <v>154</v>
      </c>
      <c r="F964" s="2">
        <v>3596483233406.251</v>
      </c>
      <c r="G964" s="2" t="str">
        <f>Table1_1[[#This Row],[Country Name]]&amp;"|"&amp;Table1_1[[#This Row],[Series Name]]&amp;"|"&amp;Table1_1[[#This Row],[Years]]</f>
        <v>Germany|GDP (current US$)|2012</v>
      </c>
    </row>
    <row r="965" spans="1:7" x14ac:dyDescent="0.3">
      <c r="A965" s="2" t="s">
        <v>149</v>
      </c>
      <c r="B965" s="2" t="s">
        <v>111</v>
      </c>
      <c r="C965" s="2" t="s">
        <v>25</v>
      </c>
      <c r="D965" s="2" t="s">
        <v>89</v>
      </c>
      <c r="E965" s="2" t="s">
        <v>155</v>
      </c>
      <c r="F965" s="2">
        <v>3807023797050.9912</v>
      </c>
      <c r="G965" s="2" t="str">
        <f>Table1_1[[#This Row],[Country Name]]&amp;"|"&amp;Table1_1[[#This Row],[Series Name]]&amp;"|"&amp;Table1_1[[#This Row],[Years]]</f>
        <v>Germany|GDP (current US$)|2013</v>
      </c>
    </row>
    <row r="966" spans="1:7" x14ac:dyDescent="0.3">
      <c r="A966" s="2" t="s">
        <v>149</v>
      </c>
      <c r="B966" s="2" t="s">
        <v>111</v>
      </c>
      <c r="C966" s="2" t="s">
        <v>25</v>
      </c>
      <c r="D966" s="2" t="s">
        <v>89</v>
      </c>
      <c r="E966" s="2" t="s">
        <v>156</v>
      </c>
      <c r="F966" s="2">
        <v>3964870735760.7705</v>
      </c>
      <c r="G966" s="2" t="str">
        <f>Table1_1[[#This Row],[Country Name]]&amp;"|"&amp;Table1_1[[#This Row],[Series Name]]&amp;"|"&amp;Table1_1[[#This Row],[Years]]</f>
        <v>Germany|GDP (current US$)|2014</v>
      </c>
    </row>
    <row r="967" spans="1:7" x14ac:dyDescent="0.3">
      <c r="A967" s="2" t="s">
        <v>149</v>
      </c>
      <c r="B967" s="2" t="s">
        <v>111</v>
      </c>
      <c r="C967" s="2" t="s">
        <v>25</v>
      </c>
      <c r="D967" s="2" t="s">
        <v>89</v>
      </c>
      <c r="E967" s="2" t="s">
        <v>157</v>
      </c>
      <c r="F967" s="2">
        <v>3425099578746.0918</v>
      </c>
      <c r="G967" s="2" t="str">
        <f>Table1_1[[#This Row],[Country Name]]&amp;"|"&amp;Table1_1[[#This Row],[Series Name]]&amp;"|"&amp;Table1_1[[#This Row],[Years]]</f>
        <v>Germany|GDP (current US$)|2015</v>
      </c>
    </row>
    <row r="968" spans="1:7" x14ac:dyDescent="0.3">
      <c r="A968" s="2" t="s">
        <v>149</v>
      </c>
      <c r="B968" s="2" t="s">
        <v>111</v>
      </c>
      <c r="C968" s="2" t="s">
        <v>25</v>
      </c>
      <c r="D968" s="2" t="s">
        <v>89</v>
      </c>
      <c r="E968" s="2" t="s">
        <v>158</v>
      </c>
      <c r="F968" s="2">
        <v>3536787895178.9971</v>
      </c>
      <c r="G968" s="2" t="str">
        <f>Table1_1[[#This Row],[Country Name]]&amp;"|"&amp;Table1_1[[#This Row],[Series Name]]&amp;"|"&amp;Table1_1[[#This Row],[Years]]</f>
        <v>Germany|GDP (current US$)|2016</v>
      </c>
    </row>
    <row r="969" spans="1:7" x14ac:dyDescent="0.3">
      <c r="A969" s="2" t="s">
        <v>149</v>
      </c>
      <c r="B969" s="2" t="s">
        <v>111</v>
      </c>
      <c r="C969" s="2" t="s">
        <v>25</v>
      </c>
      <c r="D969" s="2" t="s">
        <v>89</v>
      </c>
      <c r="E969" s="2" t="s">
        <v>159</v>
      </c>
      <c r="F969" s="2">
        <v>3765351626105.8887</v>
      </c>
      <c r="G969" s="2" t="str">
        <f>Table1_1[[#This Row],[Country Name]]&amp;"|"&amp;Table1_1[[#This Row],[Series Name]]&amp;"|"&amp;Table1_1[[#This Row],[Years]]</f>
        <v>Germany|GDP (current US$)|2017</v>
      </c>
    </row>
    <row r="970" spans="1:7" x14ac:dyDescent="0.3">
      <c r="A970" s="2" t="s">
        <v>149</v>
      </c>
      <c r="B970" s="2" t="s">
        <v>111</v>
      </c>
      <c r="C970" s="2" t="s">
        <v>25</v>
      </c>
      <c r="D970" s="2" t="s">
        <v>89</v>
      </c>
      <c r="E970" s="2" t="s">
        <v>160</v>
      </c>
      <c r="F970" s="2">
        <v>4055433215301.958</v>
      </c>
      <c r="G970" s="2" t="str">
        <f>Table1_1[[#This Row],[Country Name]]&amp;"|"&amp;Table1_1[[#This Row],[Series Name]]&amp;"|"&amp;Table1_1[[#This Row],[Years]]</f>
        <v>Germany|GDP (current US$)|2018</v>
      </c>
    </row>
    <row r="971" spans="1:7" x14ac:dyDescent="0.3">
      <c r="A971" s="2" t="s">
        <v>149</v>
      </c>
      <c r="B971" s="2" t="s">
        <v>111</v>
      </c>
      <c r="C971" s="2" t="s">
        <v>25</v>
      </c>
      <c r="D971" s="2" t="s">
        <v>89</v>
      </c>
      <c r="E971" s="2" t="s">
        <v>161</v>
      </c>
      <c r="F971" s="2">
        <v>3959894794039.2095</v>
      </c>
      <c r="G971" s="2" t="str">
        <f>Table1_1[[#This Row],[Country Name]]&amp;"|"&amp;Table1_1[[#This Row],[Series Name]]&amp;"|"&amp;Table1_1[[#This Row],[Years]]</f>
        <v>Germany|GDP (current US$)|2019</v>
      </c>
    </row>
    <row r="972" spans="1:7" x14ac:dyDescent="0.3">
      <c r="A972" s="2" t="s">
        <v>149</v>
      </c>
      <c r="B972" s="2" t="s">
        <v>111</v>
      </c>
      <c r="C972" s="2" t="s">
        <v>25</v>
      </c>
      <c r="D972" s="2" t="s">
        <v>89</v>
      </c>
      <c r="E972" s="2" t="s">
        <v>162</v>
      </c>
      <c r="F972" s="2">
        <v>3941398957073.9409</v>
      </c>
      <c r="G972" s="2" t="str">
        <f>Table1_1[[#This Row],[Country Name]]&amp;"|"&amp;Table1_1[[#This Row],[Series Name]]&amp;"|"&amp;Table1_1[[#This Row],[Years]]</f>
        <v>Germany|GDP (current US$)|2020</v>
      </c>
    </row>
    <row r="973" spans="1:7" x14ac:dyDescent="0.3">
      <c r="A973" s="2" t="s">
        <v>149</v>
      </c>
      <c r="B973" s="2" t="s">
        <v>111</v>
      </c>
      <c r="C973" s="2" t="s">
        <v>25</v>
      </c>
      <c r="D973" s="2" t="s">
        <v>89</v>
      </c>
      <c r="E973" s="2" t="s">
        <v>163</v>
      </c>
      <c r="F973" s="2">
        <v>4355251953410.7827</v>
      </c>
      <c r="G973" s="2" t="str">
        <f>Table1_1[[#This Row],[Country Name]]&amp;"|"&amp;Table1_1[[#This Row],[Series Name]]&amp;"|"&amp;Table1_1[[#This Row],[Years]]</f>
        <v>Germany|GDP (current US$)|2021</v>
      </c>
    </row>
    <row r="974" spans="1:7" x14ac:dyDescent="0.3">
      <c r="A974" s="2" t="s">
        <v>149</v>
      </c>
      <c r="B974" s="2" t="s">
        <v>111</v>
      </c>
      <c r="C974" s="2" t="s">
        <v>25</v>
      </c>
      <c r="D974" s="2" t="s">
        <v>89</v>
      </c>
      <c r="E974" s="2" t="s">
        <v>164</v>
      </c>
      <c r="F974" s="2">
        <v>4201021706478.6157</v>
      </c>
      <c r="G974" s="2" t="str">
        <f>Table1_1[[#This Row],[Country Name]]&amp;"|"&amp;Table1_1[[#This Row],[Series Name]]&amp;"|"&amp;Table1_1[[#This Row],[Years]]</f>
        <v>Germany|GDP (current US$)|2022</v>
      </c>
    </row>
    <row r="975" spans="1:7" x14ac:dyDescent="0.3">
      <c r="A975" s="2" t="s">
        <v>149</v>
      </c>
      <c r="B975" s="2" t="s">
        <v>111</v>
      </c>
      <c r="C975" s="2" t="s">
        <v>25</v>
      </c>
      <c r="D975" s="2" t="s">
        <v>89</v>
      </c>
      <c r="E975" s="2" t="s">
        <v>165</v>
      </c>
      <c r="F975" s="2">
        <v>4562207532490.2764</v>
      </c>
      <c r="G975" s="2" t="str">
        <f>Table1_1[[#This Row],[Country Name]]&amp;"|"&amp;Table1_1[[#This Row],[Series Name]]&amp;"|"&amp;Table1_1[[#This Row],[Years]]</f>
        <v>Germany|GDP (current US$)|2023</v>
      </c>
    </row>
    <row r="976" spans="1:7" x14ac:dyDescent="0.3">
      <c r="A976" s="2" t="s">
        <v>149</v>
      </c>
      <c r="B976" s="2" t="s">
        <v>111</v>
      </c>
      <c r="C976" s="2" t="s">
        <v>25</v>
      </c>
      <c r="D976" s="2" t="s">
        <v>89</v>
      </c>
      <c r="E976" s="2" t="s">
        <v>166</v>
      </c>
      <c r="F976" s="2">
        <v>4685592577804.6865</v>
      </c>
      <c r="G976" s="2" t="str">
        <f>Table1_1[[#This Row],[Country Name]]&amp;"|"&amp;Table1_1[[#This Row],[Series Name]]&amp;"|"&amp;Table1_1[[#This Row],[Years]]</f>
        <v>Germany|GDP (current US$)|2024</v>
      </c>
    </row>
    <row r="977" spans="1:7" x14ac:dyDescent="0.3">
      <c r="A977" s="2" t="s">
        <v>149</v>
      </c>
      <c r="B977" s="2" t="s">
        <v>111</v>
      </c>
      <c r="C977" s="2" t="s">
        <v>25</v>
      </c>
      <c r="D977" s="2" t="s">
        <v>89</v>
      </c>
      <c r="E977" s="2" t="s">
        <v>167</v>
      </c>
      <c r="F977" s="2">
        <v>5050922925047.0518</v>
      </c>
      <c r="G977" s="2" t="str">
        <f>Table1_1[[#This Row],[Country Name]]&amp;"|"&amp;Table1_1[[#This Row],[Series Name]]&amp;"|"&amp;Table1_1[[#This Row],[Years]]</f>
        <v>Germany|GDP (current US$)|2025</v>
      </c>
    </row>
    <row r="978" spans="1:7" x14ac:dyDescent="0.3">
      <c r="A978" s="2" t="s">
        <v>149</v>
      </c>
      <c r="B978" s="2" t="s">
        <v>111</v>
      </c>
      <c r="C978" s="2" t="s">
        <v>67</v>
      </c>
      <c r="D978" s="2" t="s">
        <v>24</v>
      </c>
      <c r="E978" s="2" t="s">
        <v>152</v>
      </c>
      <c r="F978" s="2">
        <v>4.1346377852275822</v>
      </c>
      <c r="G978" s="2" t="str">
        <f>Table1_1[[#This Row],[Country Name]]&amp;"|"&amp;Table1_1[[#This Row],[Series Name]]&amp;"|"&amp;Table1_1[[#This Row],[Years]]</f>
        <v>Germany|GDP growth (annual %)|2010</v>
      </c>
    </row>
    <row r="979" spans="1:7" x14ac:dyDescent="0.3">
      <c r="A979" s="2" t="s">
        <v>149</v>
      </c>
      <c r="B979" s="2" t="s">
        <v>111</v>
      </c>
      <c r="C979" s="2" t="s">
        <v>67</v>
      </c>
      <c r="D979" s="2" t="s">
        <v>24</v>
      </c>
      <c r="E979" s="2" t="s">
        <v>153</v>
      </c>
      <c r="F979" s="2">
        <v>3.7579688448933695</v>
      </c>
      <c r="G979" s="2" t="str">
        <f>Table1_1[[#This Row],[Country Name]]&amp;"|"&amp;Table1_1[[#This Row],[Series Name]]&amp;"|"&amp;Table1_1[[#This Row],[Years]]</f>
        <v>Germany|GDP growth (annual %)|2011</v>
      </c>
    </row>
    <row r="980" spans="1:7" x14ac:dyDescent="0.3">
      <c r="A980" s="2" t="s">
        <v>149</v>
      </c>
      <c r="B980" s="2" t="s">
        <v>111</v>
      </c>
      <c r="C980" s="2" t="s">
        <v>67</v>
      </c>
      <c r="D980" s="2" t="s">
        <v>24</v>
      </c>
      <c r="E980" s="2" t="s">
        <v>154</v>
      </c>
      <c r="F980" s="2">
        <v>0.46351203670920427</v>
      </c>
      <c r="G980" s="2" t="str">
        <f>Table1_1[[#This Row],[Country Name]]&amp;"|"&amp;Table1_1[[#This Row],[Series Name]]&amp;"|"&amp;Table1_1[[#This Row],[Years]]</f>
        <v>Germany|GDP growth (annual %)|2012</v>
      </c>
    </row>
    <row r="981" spans="1:7" x14ac:dyDescent="0.3">
      <c r="A981" s="2" t="s">
        <v>149</v>
      </c>
      <c r="B981" s="2" t="s">
        <v>111</v>
      </c>
      <c r="C981" s="2" t="s">
        <v>67</v>
      </c>
      <c r="D981" s="2" t="s">
        <v>24</v>
      </c>
      <c r="E981" s="2" t="s">
        <v>155</v>
      </c>
      <c r="F981" s="2">
        <v>0.39699558377914457</v>
      </c>
      <c r="G981" s="2" t="str">
        <f>Table1_1[[#This Row],[Country Name]]&amp;"|"&amp;Table1_1[[#This Row],[Series Name]]&amp;"|"&amp;Table1_1[[#This Row],[Years]]</f>
        <v>Germany|GDP growth (annual %)|2013</v>
      </c>
    </row>
    <row r="982" spans="1:7" x14ac:dyDescent="0.3">
      <c r="A982" s="2" t="s">
        <v>149</v>
      </c>
      <c r="B982" s="2" t="s">
        <v>111</v>
      </c>
      <c r="C982" s="2" t="s">
        <v>67</v>
      </c>
      <c r="D982" s="2" t="s">
        <v>24</v>
      </c>
      <c r="E982" s="2" t="s">
        <v>156</v>
      </c>
      <c r="F982" s="2">
        <v>2.1801860216801714</v>
      </c>
      <c r="G982" s="2" t="str">
        <f>Table1_1[[#This Row],[Country Name]]&amp;"|"&amp;Table1_1[[#This Row],[Series Name]]&amp;"|"&amp;Table1_1[[#This Row],[Years]]</f>
        <v>Germany|GDP growth (annual %)|2014</v>
      </c>
    </row>
    <row r="983" spans="1:7" x14ac:dyDescent="0.3">
      <c r="A983" s="2" t="s">
        <v>149</v>
      </c>
      <c r="B983" s="2" t="s">
        <v>111</v>
      </c>
      <c r="C983" s="2" t="s">
        <v>67</v>
      </c>
      <c r="D983" s="2" t="s">
        <v>24</v>
      </c>
      <c r="E983" s="2" t="s">
        <v>157</v>
      </c>
      <c r="F983" s="2">
        <v>1.6630060233477479</v>
      </c>
      <c r="G983" s="2" t="str">
        <f>Table1_1[[#This Row],[Country Name]]&amp;"|"&amp;Table1_1[[#This Row],[Series Name]]&amp;"|"&amp;Table1_1[[#This Row],[Years]]</f>
        <v>Germany|GDP growth (annual %)|2015</v>
      </c>
    </row>
    <row r="984" spans="1:7" x14ac:dyDescent="0.3">
      <c r="A984" s="2" t="s">
        <v>149</v>
      </c>
      <c r="B984" s="2" t="s">
        <v>111</v>
      </c>
      <c r="C984" s="2" t="s">
        <v>67</v>
      </c>
      <c r="D984" s="2" t="s">
        <v>24</v>
      </c>
      <c r="E984" s="2" t="s">
        <v>158</v>
      </c>
      <c r="F984" s="2">
        <v>2.2222221625937095</v>
      </c>
      <c r="G984" s="2" t="str">
        <f>Table1_1[[#This Row],[Country Name]]&amp;"|"&amp;Table1_1[[#This Row],[Series Name]]&amp;"|"&amp;Table1_1[[#This Row],[Years]]</f>
        <v>Germany|GDP growth (annual %)|2016</v>
      </c>
    </row>
    <row r="985" spans="1:7" x14ac:dyDescent="0.3">
      <c r="A985" s="2" t="s">
        <v>149</v>
      </c>
      <c r="B985" s="2" t="s">
        <v>111</v>
      </c>
      <c r="C985" s="2" t="s">
        <v>67</v>
      </c>
      <c r="D985" s="2" t="s">
        <v>24</v>
      </c>
      <c r="E985" s="2" t="s">
        <v>159</v>
      </c>
      <c r="F985" s="2">
        <v>2.7979067205509978</v>
      </c>
      <c r="G985" s="2" t="str">
        <f>Table1_1[[#This Row],[Country Name]]&amp;"|"&amp;Table1_1[[#This Row],[Series Name]]&amp;"|"&amp;Table1_1[[#This Row],[Years]]</f>
        <v>Germany|GDP growth (annual %)|2017</v>
      </c>
    </row>
    <row r="986" spans="1:7" x14ac:dyDescent="0.3">
      <c r="A986" s="2" t="s">
        <v>149</v>
      </c>
      <c r="B986" s="2" t="s">
        <v>111</v>
      </c>
      <c r="C986" s="2" t="s">
        <v>67</v>
      </c>
      <c r="D986" s="2" t="s">
        <v>24</v>
      </c>
      <c r="E986" s="2" t="s">
        <v>160</v>
      </c>
      <c r="F986" s="2">
        <v>1.1356960459984862</v>
      </c>
      <c r="G986" s="2" t="str">
        <f>Table1_1[[#This Row],[Country Name]]&amp;"|"&amp;Table1_1[[#This Row],[Series Name]]&amp;"|"&amp;Table1_1[[#This Row],[Years]]</f>
        <v>Germany|GDP growth (annual %)|2018</v>
      </c>
    </row>
    <row r="987" spans="1:7" x14ac:dyDescent="0.3">
      <c r="A987" s="2" t="s">
        <v>149</v>
      </c>
      <c r="B987" s="2" t="s">
        <v>111</v>
      </c>
      <c r="C987" s="2" t="s">
        <v>67</v>
      </c>
      <c r="D987" s="2" t="s">
        <v>24</v>
      </c>
      <c r="E987" s="2" t="s">
        <v>161</v>
      </c>
      <c r="F987" s="2">
        <v>0.97773469703878391</v>
      </c>
      <c r="G987" s="2" t="str">
        <f>Table1_1[[#This Row],[Country Name]]&amp;"|"&amp;Table1_1[[#This Row],[Series Name]]&amp;"|"&amp;Table1_1[[#This Row],[Years]]</f>
        <v>Germany|GDP growth (annual %)|2019</v>
      </c>
    </row>
    <row r="988" spans="1:7" x14ac:dyDescent="0.3">
      <c r="A988" s="2" t="s">
        <v>149</v>
      </c>
      <c r="B988" s="2" t="s">
        <v>111</v>
      </c>
      <c r="C988" s="2" t="s">
        <v>67</v>
      </c>
      <c r="D988" s="2" t="s">
        <v>24</v>
      </c>
      <c r="E988" s="2" t="s">
        <v>162</v>
      </c>
      <c r="F988" s="2">
        <v>-4.1319144323994692</v>
      </c>
      <c r="G988" s="2" t="str">
        <f>Table1_1[[#This Row],[Country Name]]&amp;"|"&amp;Table1_1[[#This Row],[Series Name]]&amp;"|"&amp;Table1_1[[#This Row],[Years]]</f>
        <v>Germany|GDP growth (annual %)|2020</v>
      </c>
    </row>
    <row r="989" spans="1:7" x14ac:dyDescent="0.3">
      <c r="A989" s="2" t="s">
        <v>149</v>
      </c>
      <c r="B989" s="2" t="s">
        <v>111</v>
      </c>
      <c r="C989" s="2" t="s">
        <v>67</v>
      </c>
      <c r="D989" s="2" t="s">
        <v>24</v>
      </c>
      <c r="E989" s="2" t="s">
        <v>163</v>
      </c>
      <c r="F989" s="2">
        <v>3.9099999420410825</v>
      </c>
      <c r="G989" s="2" t="str">
        <f>Table1_1[[#This Row],[Country Name]]&amp;"|"&amp;Table1_1[[#This Row],[Series Name]]&amp;"|"&amp;Table1_1[[#This Row],[Years]]</f>
        <v>Germany|GDP growth (annual %)|2021</v>
      </c>
    </row>
    <row r="990" spans="1:7" x14ac:dyDescent="0.3">
      <c r="A990" s="2" t="s">
        <v>149</v>
      </c>
      <c r="B990" s="2" t="s">
        <v>111</v>
      </c>
      <c r="C990" s="2" t="s">
        <v>67</v>
      </c>
      <c r="D990" s="2" t="s">
        <v>24</v>
      </c>
      <c r="E990" s="2" t="s">
        <v>164</v>
      </c>
      <c r="F990" s="2">
        <v>1.8092581243060977</v>
      </c>
      <c r="G990" s="2" t="str">
        <f>Table1_1[[#This Row],[Country Name]]&amp;"|"&amp;Table1_1[[#This Row],[Series Name]]&amp;"|"&amp;Table1_1[[#This Row],[Years]]</f>
        <v>Germany|GDP growth (annual %)|2022</v>
      </c>
    </row>
    <row r="991" spans="1:7" x14ac:dyDescent="0.3">
      <c r="A991" s="2" t="s">
        <v>149</v>
      </c>
      <c r="B991" s="2" t="s">
        <v>111</v>
      </c>
      <c r="C991" s="2" t="s">
        <v>67</v>
      </c>
      <c r="D991" s="2" t="s">
        <v>24</v>
      </c>
      <c r="E991" s="2" t="s">
        <v>165</v>
      </c>
      <c r="F991" s="2">
        <v>-0.86964757857332131</v>
      </c>
      <c r="G991" s="2" t="str">
        <f>Table1_1[[#This Row],[Country Name]]&amp;"|"&amp;Table1_1[[#This Row],[Series Name]]&amp;"|"&amp;Table1_1[[#This Row],[Years]]</f>
        <v>Germany|GDP growth (annual %)|2023</v>
      </c>
    </row>
    <row r="992" spans="1:7" x14ac:dyDescent="0.3">
      <c r="A992" s="2" t="s">
        <v>149</v>
      </c>
      <c r="B992" s="2" t="s">
        <v>111</v>
      </c>
      <c r="C992" s="2" t="s">
        <v>67</v>
      </c>
      <c r="D992" s="2" t="s">
        <v>24</v>
      </c>
      <c r="E992" s="2" t="s">
        <v>166</v>
      </c>
      <c r="F992" s="2">
        <v>-0.4958518972603656</v>
      </c>
      <c r="G992" s="2" t="str">
        <f>Table1_1[[#This Row],[Country Name]]&amp;"|"&amp;Table1_1[[#This Row],[Series Name]]&amp;"|"&amp;Table1_1[[#This Row],[Years]]</f>
        <v>Germany|GDP growth (annual %)|2024</v>
      </c>
    </row>
    <row r="993" spans="1:7" x14ac:dyDescent="0.3">
      <c r="A993" s="2" t="s">
        <v>149</v>
      </c>
      <c r="B993" s="2" t="s">
        <v>111</v>
      </c>
      <c r="C993" s="2" t="s">
        <v>67</v>
      </c>
      <c r="D993" s="2" t="s">
        <v>24</v>
      </c>
      <c r="E993" s="2" t="s">
        <v>167</v>
      </c>
      <c r="F993" s="2">
        <v>0.23957834211788054</v>
      </c>
      <c r="G993" s="2" t="str">
        <f>Table1_1[[#This Row],[Country Name]]&amp;"|"&amp;Table1_1[[#This Row],[Series Name]]&amp;"|"&amp;Table1_1[[#This Row],[Years]]</f>
        <v>Germany|GDP growth (annual %)|2025</v>
      </c>
    </row>
    <row r="994" spans="1:7" x14ac:dyDescent="0.3">
      <c r="A994" s="2" t="s">
        <v>149</v>
      </c>
      <c r="B994" s="2" t="s">
        <v>111</v>
      </c>
      <c r="C994" s="2" t="s">
        <v>79</v>
      </c>
      <c r="D994" s="2" t="s">
        <v>91</v>
      </c>
      <c r="E994" s="2" t="s">
        <v>152</v>
      </c>
      <c r="F994" s="2">
        <v>1.1038103778926049</v>
      </c>
      <c r="G994" s="2" t="str">
        <f>Table1_1[[#This Row],[Country Name]]&amp;"|"&amp;Table1_1[[#This Row],[Series Name]]&amp;"|"&amp;Table1_1[[#This Row],[Years]]</f>
        <v>Germany|Inflation, consumer prices (annual %)|2010</v>
      </c>
    </row>
    <row r="995" spans="1:7" x14ac:dyDescent="0.3">
      <c r="A995" s="2" t="s">
        <v>149</v>
      </c>
      <c r="B995" s="2" t="s">
        <v>111</v>
      </c>
      <c r="C995" s="2" t="s">
        <v>79</v>
      </c>
      <c r="D995" s="2" t="s">
        <v>91</v>
      </c>
      <c r="E995" s="2" t="s">
        <v>153</v>
      </c>
      <c r="F995" s="2">
        <v>2.0751728373587408</v>
      </c>
      <c r="G995" s="2" t="str">
        <f>Table1_1[[#This Row],[Country Name]]&amp;"|"&amp;Table1_1[[#This Row],[Series Name]]&amp;"|"&amp;Table1_1[[#This Row],[Years]]</f>
        <v>Germany|Inflation, consumer prices (annual %)|2011</v>
      </c>
    </row>
    <row r="996" spans="1:7" x14ac:dyDescent="0.3">
      <c r="A996" s="2" t="s">
        <v>149</v>
      </c>
      <c r="B996" s="2" t="s">
        <v>111</v>
      </c>
      <c r="C996" s="2" t="s">
        <v>79</v>
      </c>
      <c r="D996" s="2" t="s">
        <v>91</v>
      </c>
      <c r="E996" s="2" t="s">
        <v>154</v>
      </c>
      <c r="F996" s="2">
        <v>2.0084888478295619</v>
      </c>
      <c r="G996" s="2" t="str">
        <f>Table1_1[[#This Row],[Country Name]]&amp;"|"&amp;Table1_1[[#This Row],[Series Name]]&amp;"|"&amp;Table1_1[[#This Row],[Years]]</f>
        <v>Germany|Inflation, consumer prices (annual %)|2012</v>
      </c>
    </row>
    <row r="997" spans="1:7" x14ac:dyDescent="0.3">
      <c r="A997" s="2" t="s">
        <v>149</v>
      </c>
      <c r="B997" s="2" t="s">
        <v>111</v>
      </c>
      <c r="C997" s="2" t="s">
        <v>79</v>
      </c>
      <c r="D997" s="2" t="s">
        <v>91</v>
      </c>
      <c r="E997" s="2" t="s">
        <v>155</v>
      </c>
      <c r="F997" s="2">
        <v>1.504723302518763</v>
      </c>
      <c r="G997" s="2" t="str">
        <f>Table1_1[[#This Row],[Country Name]]&amp;"|"&amp;Table1_1[[#This Row],[Series Name]]&amp;"|"&amp;Table1_1[[#This Row],[Years]]</f>
        <v>Germany|Inflation, consumer prices (annual %)|2013</v>
      </c>
    </row>
    <row r="998" spans="1:7" x14ac:dyDescent="0.3">
      <c r="A998" s="2" t="s">
        <v>149</v>
      </c>
      <c r="B998" s="2" t="s">
        <v>111</v>
      </c>
      <c r="C998" s="2" t="s">
        <v>79</v>
      </c>
      <c r="D998" s="2" t="s">
        <v>91</v>
      </c>
      <c r="E998" s="2" t="s">
        <v>156</v>
      </c>
      <c r="F998" s="2">
        <v>0.90679400043424585</v>
      </c>
      <c r="G998" s="2" t="str">
        <f>Table1_1[[#This Row],[Country Name]]&amp;"|"&amp;Table1_1[[#This Row],[Series Name]]&amp;"|"&amp;Table1_1[[#This Row],[Years]]</f>
        <v>Germany|Inflation, consumer prices (annual %)|2014</v>
      </c>
    </row>
    <row r="999" spans="1:7" x14ac:dyDescent="0.3">
      <c r="A999" s="2" t="s">
        <v>149</v>
      </c>
      <c r="B999" s="2" t="s">
        <v>111</v>
      </c>
      <c r="C999" s="2" t="s">
        <v>79</v>
      </c>
      <c r="D999" s="2" t="s">
        <v>91</v>
      </c>
      <c r="E999" s="2" t="s">
        <v>157</v>
      </c>
      <c r="F999" s="2">
        <v>0.51442613712545615</v>
      </c>
      <c r="G999" s="2" t="str">
        <f>Table1_1[[#This Row],[Country Name]]&amp;"|"&amp;Table1_1[[#This Row],[Series Name]]&amp;"|"&amp;Table1_1[[#This Row],[Years]]</f>
        <v>Germany|Inflation, consumer prices (annual %)|2015</v>
      </c>
    </row>
    <row r="1000" spans="1:7" x14ac:dyDescent="0.3">
      <c r="A1000" s="2" t="s">
        <v>149</v>
      </c>
      <c r="B1000" s="2" t="s">
        <v>111</v>
      </c>
      <c r="C1000" s="2" t="s">
        <v>79</v>
      </c>
      <c r="D1000" s="2" t="s">
        <v>91</v>
      </c>
      <c r="E1000" s="2" t="s">
        <v>158</v>
      </c>
      <c r="F1000" s="2">
        <v>0.49174700844517449</v>
      </c>
      <c r="G1000" s="2" t="str">
        <f>Table1_1[[#This Row],[Country Name]]&amp;"|"&amp;Table1_1[[#This Row],[Series Name]]&amp;"|"&amp;Table1_1[[#This Row],[Years]]</f>
        <v>Germany|Inflation, consumer prices (annual %)|2016</v>
      </c>
    </row>
    <row r="1001" spans="1:7" x14ac:dyDescent="0.3">
      <c r="A1001" s="2" t="s">
        <v>149</v>
      </c>
      <c r="B1001" s="2" t="s">
        <v>111</v>
      </c>
      <c r="C1001" s="2" t="s">
        <v>79</v>
      </c>
      <c r="D1001" s="2" t="s">
        <v>91</v>
      </c>
      <c r="E1001" s="2" t="s">
        <v>159</v>
      </c>
      <c r="F1001" s="2">
        <v>1.5094948510962829</v>
      </c>
      <c r="G1001" s="2" t="str">
        <f>Table1_1[[#This Row],[Country Name]]&amp;"|"&amp;Table1_1[[#This Row],[Series Name]]&amp;"|"&amp;Table1_1[[#This Row],[Years]]</f>
        <v>Germany|Inflation, consumer prices (annual %)|2017</v>
      </c>
    </row>
    <row r="1002" spans="1:7" x14ac:dyDescent="0.3">
      <c r="A1002" s="2" t="s">
        <v>149</v>
      </c>
      <c r="B1002" s="2" t="s">
        <v>111</v>
      </c>
      <c r="C1002" s="2" t="s">
        <v>79</v>
      </c>
      <c r="D1002" s="2" t="s">
        <v>91</v>
      </c>
      <c r="E1002" s="2" t="s">
        <v>160</v>
      </c>
      <c r="F1002" s="2">
        <v>1.732168797669418</v>
      </c>
      <c r="G1002" s="2" t="str">
        <f>Table1_1[[#This Row],[Country Name]]&amp;"|"&amp;Table1_1[[#This Row],[Series Name]]&amp;"|"&amp;Table1_1[[#This Row],[Years]]</f>
        <v>Germany|Inflation, consumer prices (annual %)|2018</v>
      </c>
    </row>
    <row r="1003" spans="1:7" x14ac:dyDescent="0.3">
      <c r="A1003" s="2" t="s">
        <v>149</v>
      </c>
      <c r="B1003" s="2" t="s">
        <v>111</v>
      </c>
      <c r="C1003" s="2" t="s">
        <v>79</v>
      </c>
      <c r="D1003" s="2" t="s">
        <v>91</v>
      </c>
      <c r="E1003" s="2" t="s">
        <v>161</v>
      </c>
      <c r="F1003" s="2">
        <v>1.4456597688825339</v>
      </c>
      <c r="G1003" s="2" t="str">
        <f>Table1_1[[#This Row],[Country Name]]&amp;"|"&amp;Table1_1[[#This Row],[Series Name]]&amp;"|"&amp;Table1_1[[#This Row],[Years]]</f>
        <v>Germany|Inflation, consumer prices (annual %)|2019</v>
      </c>
    </row>
    <row r="1004" spans="1:7" x14ac:dyDescent="0.3">
      <c r="A1004" s="2" t="s">
        <v>149</v>
      </c>
      <c r="B1004" s="2" t="s">
        <v>111</v>
      </c>
      <c r="C1004" s="2" t="s">
        <v>79</v>
      </c>
      <c r="D1004" s="2" t="s">
        <v>91</v>
      </c>
      <c r="E1004" s="2" t="s">
        <v>162</v>
      </c>
      <c r="F1004" s="2">
        <v>0.1448779258139819</v>
      </c>
      <c r="G1004" s="2" t="str">
        <f>Table1_1[[#This Row],[Country Name]]&amp;"|"&amp;Table1_1[[#This Row],[Series Name]]&amp;"|"&amp;Table1_1[[#This Row],[Years]]</f>
        <v>Germany|Inflation, consumer prices (annual %)|2020</v>
      </c>
    </row>
    <row r="1005" spans="1:7" x14ac:dyDescent="0.3">
      <c r="A1005" s="2" t="s">
        <v>149</v>
      </c>
      <c r="B1005" s="2" t="s">
        <v>111</v>
      </c>
      <c r="C1005" s="2" t="s">
        <v>79</v>
      </c>
      <c r="D1005" s="2" t="s">
        <v>91</v>
      </c>
      <c r="E1005" s="2" t="s">
        <v>163</v>
      </c>
      <c r="F1005" s="2">
        <v>3.0666666666667299</v>
      </c>
      <c r="G1005" s="2" t="str">
        <f>Table1_1[[#This Row],[Country Name]]&amp;"|"&amp;Table1_1[[#This Row],[Series Name]]&amp;"|"&amp;Table1_1[[#This Row],[Years]]</f>
        <v>Germany|Inflation, consumer prices (annual %)|2021</v>
      </c>
    </row>
    <row r="1006" spans="1:7" x14ac:dyDescent="0.3">
      <c r="A1006" s="2" t="s">
        <v>149</v>
      </c>
      <c r="B1006" s="2" t="s">
        <v>111</v>
      </c>
      <c r="C1006" s="2" t="s">
        <v>79</v>
      </c>
      <c r="D1006" s="2" t="s">
        <v>91</v>
      </c>
      <c r="E1006" s="2" t="s">
        <v>164</v>
      </c>
      <c r="F1006" s="2">
        <v>6.8725743855109682</v>
      </c>
      <c r="G1006" s="2" t="str">
        <f>Table1_1[[#This Row],[Country Name]]&amp;"|"&amp;Table1_1[[#This Row],[Series Name]]&amp;"|"&amp;Table1_1[[#This Row],[Years]]</f>
        <v>Germany|Inflation, consumer prices (annual %)|2022</v>
      </c>
    </row>
    <row r="1007" spans="1:7" x14ac:dyDescent="0.3">
      <c r="A1007" s="2" t="s">
        <v>149</v>
      </c>
      <c r="B1007" s="2" t="s">
        <v>111</v>
      </c>
      <c r="C1007" s="2" t="s">
        <v>79</v>
      </c>
      <c r="D1007" s="2" t="s">
        <v>91</v>
      </c>
      <c r="E1007" s="2" t="s">
        <v>165</v>
      </c>
      <c r="F1007" s="2">
        <v>5.9464366772582347</v>
      </c>
      <c r="G1007" s="2" t="str">
        <f>Table1_1[[#This Row],[Country Name]]&amp;"|"&amp;Table1_1[[#This Row],[Series Name]]&amp;"|"&amp;Table1_1[[#This Row],[Years]]</f>
        <v>Germany|Inflation, consumer prices (annual %)|2023</v>
      </c>
    </row>
    <row r="1008" spans="1:7" x14ac:dyDescent="0.3">
      <c r="A1008" s="2" t="s">
        <v>149</v>
      </c>
      <c r="B1008" s="2" t="s">
        <v>111</v>
      </c>
      <c r="C1008" s="2" t="s">
        <v>79</v>
      </c>
      <c r="D1008" s="2" t="s">
        <v>91</v>
      </c>
      <c r="E1008" s="2" t="s">
        <v>166</v>
      </c>
      <c r="F1008" s="2">
        <v>2.2564981433876019</v>
      </c>
      <c r="G1008" s="2" t="str">
        <f>Table1_1[[#This Row],[Country Name]]&amp;"|"&amp;Table1_1[[#This Row],[Series Name]]&amp;"|"&amp;Table1_1[[#This Row],[Years]]</f>
        <v>Germany|Inflation, consumer prices (annual %)|2024</v>
      </c>
    </row>
    <row r="1009" spans="1:7" x14ac:dyDescent="0.3">
      <c r="A1009" s="2" t="s">
        <v>149</v>
      </c>
      <c r="B1009" s="2" t="s">
        <v>111</v>
      </c>
      <c r="C1009" s="2" t="s">
        <v>79</v>
      </c>
      <c r="D1009" s="2" t="s">
        <v>91</v>
      </c>
      <c r="E1009" s="2" t="s">
        <v>167</v>
      </c>
      <c r="F1009" s="2">
        <v>2.1717877094972131</v>
      </c>
      <c r="G1009" s="2" t="str">
        <f>Table1_1[[#This Row],[Country Name]]&amp;"|"&amp;Table1_1[[#This Row],[Series Name]]&amp;"|"&amp;Table1_1[[#This Row],[Years]]</f>
        <v>Germany|Inflation, consumer prices (annual %)|2025</v>
      </c>
    </row>
    <row r="1010" spans="1:7" x14ac:dyDescent="0.3">
      <c r="A1010" s="2" t="s">
        <v>149</v>
      </c>
      <c r="B1010" s="2" t="s">
        <v>111</v>
      </c>
      <c r="C1010" s="2" t="s">
        <v>146</v>
      </c>
      <c r="D1010" s="2" t="s">
        <v>131</v>
      </c>
      <c r="E1010" s="2" t="s">
        <v>152</v>
      </c>
      <c r="F1010" s="2">
        <v>7.0430000000000001</v>
      </c>
      <c r="G1010" s="2" t="str">
        <f>Table1_1[[#This Row],[Country Name]]&amp;"|"&amp;Table1_1[[#This Row],[Series Name]]&amp;"|"&amp;Table1_1[[#This Row],[Years]]</f>
        <v>Germany|Unemployment, total (% of total labor force) (modeled ILO estimate)|2010</v>
      </c>
    </row>
    <row r="1011" spans="1:7" x14ac:dyDescent="0.3">
      <c r="A1011" s="2" t="s">
        <v>149</v>
      </c>
      <c r="B1011" s="2" t="s">
        <v>111</v>
      </c>
      <c r="C1011" s="2" t="s">
        <v>146</v>
      </c>
      <c r="D1011" s="2" t="s">
        <v>131</v>
      </c>
      <c r="E1011" s="2" t="s">
        <v>153</v>
      </c>
      <c r="F1011" s="2">
        <v>5.9669999999999996</v>
      </c>
      <c r="G1011" s="2" t="str">
        <f>Table1_1[[#This Row],[Country Name]]&amp;"|"&amp;Table1_1[[#This Row],[Series Name]]&amp;"|"&amp;Table1_1[[#This Row],[Years]]</f>
        <v>Germany|Unemployment, total (% of total labor force) (modeled ILO estimate)|2011</v>
      </c>
    </row>
    <row r="1012" spans="1:7" x14ac:dyDescent="0.3">
      <c r="A1012" s="2" t="s">
        <v>149</v>
      </c>
      <c r="B1012" s="2" t="s">
        <v>111</v>
      </c>
      <c r="C1012" s="2" t="s">
        <v>146</v>
      </c>
      <c r="D1012" s="2" t="s">
        <v>131</v>
      </c>
      <c r="E1012" s="2" t="s">
        <v>154</v>
      </c>
      <c r="F1012" s="2">
        <v>5.3719999999999999</v>
      </c>
      <c r="G1012" s="2" t="str">
        <f>Table1_1[[#This Row],[Country Name]]&amp;"|"&amp;Table1_1[[#This Row],[Series Name]]&amp;"|"&amp;Table1_1[[#This Row],[Years]]</f>
        <v>Germany|Unemployment, total (% of total labor force) (modeled ILO estimate)|2012</v>
      </c>
    </row>
    <row r="1013" spans="1:7" x14ac:dyDescent="0.3">
      <c r="A1013" s="2" t="s">
        <v>149</v>
      </c>
      <c r="B1013" s="2" t="s">
        <v>111</v>
      </c>
      <c r="C1013" s="2" t="s">
        <v>146</v>
      </c>
      <c r="D1013" s="2" t="s">
        <v>131</v>
      </c>
      <c r="E1013" s="2" t="s">
        <v>155</v>
      </c>
      <c r="F1013" s="2">
        <v>5.3159999999999998</v>
      </c>
      <c r="G1013" s="2" t="str">
        <f>Table1_1[[#This Row],[Country Name]]&amp;"|"&amp;Table1_1[[#This Row],[Series Name]]&amp;"|"&amp;Table1_1[[#This Row],[Years]]</f>
        <v>Germany|Unemployment, total (% of total labor force) (modeled ILO estimate)|2013</v>
      </c>
    </row>
    <row r="1014" spans="1:7" x14ac:dyDescent="0.3">
      <c r="A1014" s="2" t="s">
        <v>149</v>
      </c>
      <c r="B1014" s="2" t="s">
        <v>111</v>
      </c>
      <c r="C1014" s="2" t="s">
        <v>146</v>
      </c>
      <c r="D1014" s="2" t="s">
        <v>131</v>
      </c>
      <c r="E1014" s="2" t="s">
        <v>156</v>
      </c>
      <c r="F1014" s="2">
        <v>4.9790000000000001</v>
      </c>
      <c r="G1014" s="2" t="str">
        <f>Table1_1[[#This Row],[Country Name]]&amp;"|"&amp;Table1_1[[#This Row],[Series Name]]&amp;"|"&amp;Table1_1[[#This Row],[Years]]</f>
        <v>Germany|Unemployment, total (% of total labor force) (modeled ILO estimate)|2014</v>
      </c>
    </row>
    <row r="1015" spans="1:7" x14ac:dyDescent="0.3">
      <c r="A1015" s="2" t="s">
        <v>149</v>
      </c>
      <c r="B1015" s="2" t="s">
        <v>111</v>
      </c>
      <c r="C1015" s="2" t="s">
        <v>146</v>
      </c>
      <c r="D1015" s="2" t="s">
        <v>131</v>
      </c>
      <c r="E1015" s="2" t="s">
        <v>157</v>
      </c>
      <c r="F1015" s="2">
        <v>4.6120000000000001</v>
      </c>
      <c r="G1015" s="2" t="str">
        <f>Table1_1[[#This Row],[Country Name]]&amp;"|"&amp;Table1_1[[#This Row],[Series Name]]&amp;"|"&amp;Table1_1[[#This Row],[Years]]</f>
        <v>Germany|Unemployment, total (% of total labor force) (modeled ILO estimate)|2015</v>
      </c>
    </row>
    <row r="1016" spans="1:7" x14ac:dyDescent="0.3">
      <c r="A1016" s="2" t="s">
        <v>149</v>
      </c>
      <c r="B1016" s="2" t="s">
        <v>111</v>
      </c>
      <c r="C1016" s="2" t="s">
        <v>146</v>
      </c>
      <c r="D1016" s="2" t="s">
        <v>131</v>
      </c>
      <c r="E1016" s="2" t="s">
        <v>158</v>
      </c>
      <c r="F1016" s="2">
        <v>4.1040000000000001</v>
      </c>
      <c r="G1016" s="2" t="str">
        <f>Table1_1[[#This Row],[Country Name]]&amp;"|"&amp;Table1_1[[#This Row],[Series Name]]&amp;"|"&amp;Table1_1[[#This Row],[Years]]</f>
        <v>Germany|Unemployment, total (% of total labor force) (modeled ILO estimate)|2016</v>
      </c>
    </row>
    <row r="1017" spans="1:7" x14ac:dyDescent="0.3">
      <c r="A1017" s="2" t="s">
        <v>149</v>
      </c>
      <c r="B1017" s="2" t="s">
        <v>111</v>
      </c>
      <c r="C1017" s="2" t="s">
        <v>146</v>
      </c>
      <c r="D1017" s="2" t="s">
        <v>131</v>
      </c>
      <c r="E1017" s="2" t="s">
        <v>159</v>
      </c>
      <c r="F1017" s="2">
        <v>3.7810000000000001</v>
      </c>
      <c r="G1017" s="2" t="str">
        <f>Table1_1[[#This Row],[Country Name]]&amp;"|"&amp;Table1_1[[#This Row],[Series Name]]&amp;"|"&amp;Table1_1[[#This Row],[Years]]</f>
        <v>Germany|Unemployment, total (% of total labor force) (modeled ILO estimate)|2017</v>
      </c>
    </row>
    <row r="1018" spans="1:7" x14ac:dyDescent="0.3">
      <c r="A1018" s="2" t="s">
        <v>149</v>
      </c>
      <c r="B1018" s="2" t="s">
        <v>111</v>
      </c>
      <c r="C1018" s="2" t="s">
        <v>146</v>
      </c>
      <c r="D1018" s="2" t="s">
        <v>131</v>
      </c>
      <c r="E1018" s="2" t="s">
        <v>160</v>
      </c>
      <c r="F1018" s="2">
        <v>3.3839999999999999</v>
      </c>
      <c r="G1018" s="2" t="str">
        <f>Table1_1[[#This Row],[Country Name]]&amp;"|"&amp;Table1_1[[#This Row],[Series Name]]&amp;"|"&amp;Table1_1[[#This Row],[Years]]</f>
        <v>Germany|Unemployment, total (% of total labor force) (modeled ILO estimate)|2018</v>
      </c>
    </row>
    <row r="1019" spans="1:7" x14ac:dyDescent="0.3">
      <c r="A1019" s="2" t="s">
        <v>149</v>
      </c>
      <c r="B1019" s="2" t="s">
        <v>111</v>
      </c>
      <c r="C1019" s="2" t="s">
        <v>146</v>
      </c>
      <c r="D1019" s="2" t="s">
        <v>131</v>
      </c>
      <c r="E1019" s="2" t="s">
        <v>161</v>
      </c>
      <c r="F1019" s="2">
        <v>3.1629999999999998</v>
      </c>
      <c r="G1019" s="2" t="str">
        <f>Table1_1[[#This Row],[Country Name]]&amp;"|"&amp;Table1_1[[#This Row],[Series Name]]&amp;"|"&amp;Table1_1[[#This Row],[Years]]</f>
        <v>Germany|Unemployment, total (% of total labor force) (modeled ILO estimate)|2019</v>
      </c>
    </row>
    <row r="1020" spans="1:7" x14ac:dyDescent="0.3">
      <c r="A1020" s="2" t="s">
        <v>149</v>
      </c>
      <c r="B1020" s="2" t="s">
        <v>111</v>
      </c>
      <c r="C1020" s="2" t="s">
        <v>146</v>
      </c>
      <c r="D1020" s="2" t="s">
        <v>131</v>
      </c>
      <c r="E1020" s="2" t="s">
        <v>162</v>
      </c>
      <c r="F1020" s="2">
        <v>3.8809999999999998</v>
      </c>
      <c r="G1020" s="2" t="str">
        <f>Table1_1[[#This Row],[Country Name]]&amp;"|"&amp;Table1_1[[#This Row],[Series Name]]&amp;"|"&amp;Table1_1[[#This Row],[Years]]</f>
        <v>Germany|Unemployment, total (% of total labor force) (modeled ILO estimate)|2020</v>
      </c>
    </row>
    <row r="1021" spans="1:7" x14ac:dyDescent="0.3">
      <c r="A1021" s="2" t="s">
        <v>149</v>
      </c>
      <c r="B1021" s="2" t="s">
        <v>111</v>
      </c>
      <c r="C1021" s="2" t="s">
        <v>146</v>
      </c>
      <c r="D1021" s="2" t="s">
        <v>131</v>
      </c>
      <c r="E1021" s="2" t="s">
        <v>163</v>
      </c>
      <c r="F1021" s="2">
        <v>3.5939999999999999</v>
      </c>
      <c r="G1021" s="2" t="str">
        <f>Table1_1[[#This Row],[Country Name]]&amp;"|"&amp;Table1_1[[#This Row],[Series Name]]&amp;"|"&amp;Table1_1[[#This Row],[Years]]</f>
        <v>Germany|Unemployment, total (% of total labor force) (modeled ILO estimate)|2021</v>
      </c>
    </row>
    <row r="1022" spans="1:7" x14ac:dyDescent="0.3">
      <c r="A1022" s="2" t="s">
        <v>149</v>
      </c>
      <c r="B1022" s="2" t="s">
        <v>111</v>
      </c>
      <c r="C1022" s="2" t="s">
        <v>146</v>
      </c>
      <c r="D1022" s="2" t="s">
        <v>131</v>
      </c>
      <c r="E1022" s="2" t="s">
        <v>164</v>
      </c>
      <c r="F1022" s="2">
        <v>3.137</v>
      </c>
      <c r="G1022" s="2" t="str">
        <f>Table1_1[[#This Row],[Country Name]]&amp;"|"&amp;Table1_1[[#This Row],[Series Name]]&amp;"|"&amp;Table1_1[[#This Row],[Years]]</f>
        <v>Germany|Unemployment, total (% of total labor force) (modeled ILO estimate)|2022</v>
      </c>
    </row>
    <row r="1023" spans="1:7" x14ac:dyDescent="0.3">
      <c r="A1023" s="2" t="s">
        <v>149</v>
      </c>
      <c r="B1023" s="2" t="s">
        <v>111</v>
      </c>
      <c r="C1023" s="2" t="s">
        <v>146</v>
      </c>
      <c r="D1023" s="2" t="s">
        <v>131</v>
      </c>
      <c r="E1023" s="2" t="s">
        <v>165</v>
      </c>
      <c r="F1023" s="2">
        <v>3.0710000000000002</v>
      </c>
      <c r="G1023" s="2" t="str">
        <f>Table1_1[[#This Row],[Country Name]]&amp;"|"&amp;Table1_1[[#This Row],[Series Name]]&amp;"|"&amp;Table1_1[[#This Row],[Years]]</f>
        <v>Germany|Unemployment, total (% of total labor force) (modeled ILO estimate)|2023</v>
      </c>
    </row>
    <row r="1024" spans="1:7" x14ac:dyDescent="0.3">
      <c r="A1024" s="2" t="s">
        <v>149</v>
      </c>
      <c r="B1024" s="2" t="s">
        <v>111</v>
      </c>
      <c r="C1024" s="2" t="s">
        <v>146</v>
      </c>
      <c r="D1024" s="2" t="s">
        <v>131</v>
      </c>
      <c r="E1024" s="2" t="s">
        <v>166</v>
      </c>
      <c r="F1024" s="2">
        <v>3.4</v>
      </c>
      <c r="G1024" s="2" t="str">
        <f>Table1_1[[#This Row],[Country Name]]&amp;"|"&amp;Table1_1[[#This Row],[Series Name]]&amp;"|"&amp;Table1_1[[#This Row],[Years]]</f>
        <v>Germany|Unemployment, total (% of total labor force) (modeled ILO estimate)|2024</v>
      </c>
    </row>
    <row r="1025" spans="1:7" x14ac:dyDescent="0.3">
      <c r="A1025" s="2" t="s">
        <v>149</v>
      </c>
      <c r="B1025" s="2" t="s">
        <v>111</v>
      </c>
      <c r="C1025" s="2" t="s">
        <v>146</v>
      </c>
      <c r="D1025" s="2" t="s">
        <v>131</v>
      </c>
      <c r="E1025" s="2" t="s">
        <v>167</v>
      </c>
      <c r="F1025" s="2">
        <v>3.7109999999999999</v>
      </c>
      <c r="G1025" s="2" t="str">
        <f>Table1_1[[#This Row],[Country Name]]&amp;"|"&amp;Table1_1[[#This Row],[Series Name]]&amp;"|"&amp;Table1_1[[#This Row],[Years]]</f>
        <v>Germany|Unemployment, total (% of total labor force) (modeled ILO estimate)|2025</v>
      </c>
    </row>
    <row r="1026" spans="1:7" x14ac:dyDescent="0.3">
      <c r="A1026" s="2" t="s">
        <v>149</v>
      </c>
      <c r="B1026" s="2" t="s">
        <v>111</v>
      </c>
      <c r="C1026" s="2" t="s">
        <v>34</v>
      </c>
      <c r="D1026" s="2" t="s">
        <v>17</v>
      </c>
      <c r="E1026" s="2" t="s">
        <v>152</v>
      </c>
      <c r="G1026" s="2" t="str">
        <f>Table1_1[[#This Row],[Country Name]]&amp;"|"&amp;Table1_1[[#This Row],[Series Name]]&amp;"|"&amp;Table1_1[[#This Row],[Years]]</f>
        <v>Germany|Lending interest rate (%)|2010</v>
      </c>
    </row>
    <row r="1027" spans="1:7" x14ac:dyDescent="0.3">
      <c r="A1027" s="2" t="s">
        <v>149</v>
      </c>
      <c r="B1027" s="2" t="s">
        <v>111</v>
      </c>
      <c r="C1027" s="2" t="s">
        <v>34</v>
      </c>
      <c r="D1027" s="2" t="s">
        <v>17</v>
      </c>
      <c r="E1027" s="2" t="s">
        <v>153</v>
      </c>
      <c r="G1027" s="2" t="str">
        <f>Table1_1[[#This Row],[Country Name]]&amp;"|"&amp;Table1_1[[#This Row],[Series Name]]&amp;"|"&amp;Table1_1[[#This Row],[Years]]</f>
        <v>Germany|Lending interest rate (%)|2011</v>
      </c>
    </row>
    <row r="1028" spans="1:7" x14ac:dyDescent="0.3">
      <c r="A1028" s="2" t="s">
        <v>149</v>
      </c>
      <c r="B1028" s="2" t="s">
        <v>111</v>
      </c>
      <c r="C1028" s="2" t="s">
        <v>34</v>
      </c>
      <c r="D1028" s="2" t="s">
        <v>17</v>
      </c>
      <c r="E1028" s="2" t="s">
        <v>154</v>
      </c>
      <c r="G1028" s="2" t="str">
        <f>Table1_1[[#This Row],[Country Name]]&amp;"|"&amp;Table1_1[[#This Row],[Series Name]]&amp;"|"&amp;Table1_1[[#This Row],[Years]]</f>
        <v>Germany|Lending interest rate (%)|2012</v>
      </c>
    </row>
    <row r="1029" spans="1:7" x14ac:dyDescent="0.3">
      <c r="A1029" s="2" t="s">
        <v>149</v>
      </c>
      <c r="B1029" s="2" t="s">
        <v>111</v>
      </c>
      <c r="C1029" s="2" t="s">
        <v>34</v>
      </c>
      <c r="D1029" s="2" t="s">
        <v>17</v>
      </c>
      <c r="E1029" s="2" t="s">
        <v>155</v>
      </c>
      <c r="G1029" s="2" t="str">
        <f>Table1_1[[#This Row],[Country Name]]&amp;"|"&amp;Table1_1[[#This Row],[Series Name]]&amp;"|"&amp;Table1_1[[#This Row],[Years]]</f>
        <v>Germany|Lending interest rate (%)|2013</v>
      </c>
    </row>
    <row r="1030" spans="1:7" x14ac:dyDescent="0.3">
      <c r="A1030" s="2" t="s">
        <v>149</v>
      </c>
      <c r="B1030" s="2" t="s">
        <v>111</v>
      </c>
      <c r="C1030" s="2" t="s">
        <v>34</v>
      </c>
      <c r="D1030" s="2" t="s">
        <v>17</v>
      </c>
      <c r="E1030" s="2" t="s">
        <v>156</v>
      </c>
      <c r="G1030" s="2" t="str">
        <f>Table1_1[[#This Row],[Country Name]]&amp;"|"&amp;Table1_1[[#This Row],[Series Name]]&amp;"|"&amp;Table1_1[[#This Row],[Years]]</f>
        <v>Germany|Lending interest rate (%)|2014</v>
      </c>
    </row>
    <row r="1031" spans="1:7" x14ac:dyDescent="0.3">
      <c r="A1031" s="2" t="s">
        <v>149</v>
      </c>
      <c r="B1031" s="2" t="s">
        <v>111</v>
      </c>
      <c r="C1031" s="2" t="s">
        <v>34</v>
      </c>
      <c r="D1031" s="2" t="s">
        <v>17</v>
      </c>
      <c r="E1031" s="2" t="s">
        <v>157</v>
      </c>
      <c r="G1031" s="2" t="str">
        <f>Table1_1[[#This Row],[Country Name]]&amp;"|"&amp;Table1_1[[#This Row],[Series Name]]&amp;"|"&amp;Table1_1[[#This Row],[Years]]</f>
        <v>Germany|Lending interest rate (%)|2015</v>
      </c>
    </row>
    <row r="1032" spans="1:7" x14ac:dyDescent="0.3">
      <c r="A1032" s="2" t="s">
        <v>149</v>
      </c>
      <c r="B1032" s="2" t="s">
        <v>111</v>
      </c>
      <c r="C1032" s="2" t="s">
        <v>34</v>
      </c>
      <c r="D1032" s="2" t="s">
        <v>17</v>
      </c>
      <c r="E1032" s="2" t="s">
        <v>158</v>
      </c>
      <c r="G1032" s="2" t="str">
        <f>Table1_1[[#This Row],[Country Name]]&amp;"|"&amp;Table1_1[[#This Row],[Series Name]]&amp;"|"&amp;Table1_1[[#This Row],[Years]]</f>
        <v>Germany|Lending interest rate (%)|2016</v>
      </c>
    </row>
    <row r="1033" spans="1:7" x14ac:dyDescent="0.3">
      <c r="A1033" s="2" t="s">
        <v>149</v>
      </c>
      <c r="B1033" s="2" t="s">
        <v>111</v>
      </c>
      <c r="C1033" s="2" t="s">
        <v>34</v>
      </c>
      <c r="D1033" s="2" t="s">
        <v>17</v>
      </c>
      <c r="E1033" s="2" t="s">
        <v>159</v>
      </c>
      <c r="G1033" s="2" t="str">
        <f>Table1_1[[#This Row],[Country Name]]&amp;"|"&amp;Table1_1[[#This Row],[Series Name]]&amp;"|"&amp;Table1_1[[#This Row],[Years]]</f>
        <v>Germany|Lending interest rate (%)|2017</v>
      </c>
    </row>
    <row r="1034" spans="1:7" x14ac:dyDescent="0.3">
      <c r="A1034" s="2" t="s">
        <v>149</v>
      </c>
      <c r="B1034" s="2" t="s">
        <v>111</v>
      </c>
      <c r="C1034" s="2" t="s">
        <v>34</v>
      </c>
      <c r="D1034" s="2" t="s">
        <v>17</v>
      </c>
      <c r="E1034" s="2" t="s">
        <v>160</v>
      </c>
      <c r="G1034" s="2" t="str">
        <f>Table1_1[[#This Row],[Country Name]]&amp;"|"&amp;Table1_1[[#This Row],[Series Name]]&amp;"|"&amp;Table1_1[[#This Row],[Years]]</f>
        <v>Germany|Lending interest rate (%)|2018</v>
      </c>
    </row>
    <row r="1035" spans="1:7" x14ac:dyDescent="0.3">
      <c r="A1035" s="2" t="s">
        <v>149</v>
      </c>
      <c r="B1035" s="2" t="s">
        <v>111</v>
      </c>
      <c r="C1035" s="2" t="s">
        <v>34</v>
      </c>
      <c r="D1035" s="2" t="s">
        <v>17</v>
      </c>
      <c r="E1035" s="2" t="s">
        <v>161</v>
      </c>
      <c r="G1035" s="2" t="str">
        <f>Table1_1[[#This Row],[Country Name]]&amp;"|"&amp;Table1_1[[#This Row],[Series Name]]&amp;"|"&amp;Table1_1[[#This Row],[Years]]</f>
        <v>Germany|Lending interest rate (%)|2019</v>
      </c>
    </row>
    <row r="1036" spans="1:7" x14ac:dyDescent="0.3">
      <c r="A1036" s="2" t="s">
        <v>149</v>
      </c>
      <c r="B1036" s="2" t="s">
        <v>111</v>
      </c>
      <c r="C1036" s="2" t="s">
        <v>34</v>
      </c>
      <c r="D1036" s="2" t="s">
        <v>17</v>
      </c>
      <c r="E1036" s="2" t="s">
        <v>162</v>
      </c>
      <c r="G1036" s="2" t="str">
        <f>Table1_1[[#This Row],[Country Name]]&amp;"|"&amp;Table1_1[[#This Row],[Series Name]]&amp;"|"&amp;Table1_1[[#This Row],[Years]]</f>
        <v>Germany|Lending interest rate (%)|2020</v>
      </c>
    </row>
    <row r="1037" spans="1:7" x14ac:dyDescent="0.3">
      <c r="A1037" s="2" t="s">
        <v>149</v>
      </c>
      <c r="B1037" s="2" t="s">
        <v>111</v>
      </c>
      <c r="C1037" s="2" t="s">
        <v>34</v>
      </c>
      <c r="D1037" s="2" t="s">
        <v>17</v>
      </c>
      <c r="E1037" s="2" t="s">
        <v>163</v>
      </c>
      <c r="G1037" s="2" t="str">
        <f>Table1_1[[#This Row],[Country Name]]&amp;"|"&amp;Table1_1[[#This Row],[Series Name]]&amp;"|"&amp;Table1_1[[#This Row],[Years]]</f>
        <v>Germany|Lending interest rate (%)|2021</v>
      </c>
    </row>
    <row r="1038" spans="1:7" x14ac:dyDescent="0.3">
      <c r="A1038" s="2" t="s">
        <v>149</v>
      </c>
      <c r="B1038" s="2" t="s">
        <v>111</v>
      </c>
      <c r="C1038" s="2" t="s">
        <v>34</v>
      </c>
      <c r="D1038" s="2" t="s">
        <v>17</v>
      </c>
      <c r="E1038" s="2" t="s">
        <v>164</v>
      </c>
      <c r="G1038" s="2" t="str">
        <f>Table1_1[[#This Row],[Country Name]]&amp;"|"&amp;Table1_1[[#This Row],[Series Name]]&amp;"|"&amp;Table1_1[[#This Row],[Years]]</f>
        <v>Germany|Lending interest rate (%)|2022</v>
      </c>
    </row>
    <row r="1039" spans="1:7" x14ac:dyDescent="0.3">
      <c r="A1039" s="2" t="s">
        <v>149</v>
      </c>
      <c r="B1039" s="2" t="s">
        <v>111</v>
      </c>
      <c r="C1039" s="2" t="s">
        <v>34</v>
      </c>
      <c r="D1039" s="2" t="s">
        <v>17</v>
      </c>
      <c r="E1039" s="2" t="s">
        <v>165</v>
      </c>
      <c r="G1039" s="2" t="str">
        <f>Table1_1[[#This Row],[Country Name]]&amp;"|"&amp;Table1_1[[#This Row],[Series Name]]&amp;"|"&amp;Table1_1[[#This Row],[Years]]</f>
        <v>Germany|Lending interest rate (%)|2023</v>
      </c>
    </row>
    <row r="1040" spans="1:7" x14ac:dyDescent="0.3">
      <c r="A1040" s="2" t="s">
        <v>149</v>
      </c>
      <c r="B1040" s="2" t="s">
        <v>111</v>
      </c>
      <c r="C1040" s="2" t="s">
        <v>34</v>
      </c>
      <c r="D1040" s="2" t="s">
        <v>17</v>
      </c>
      <c r="E1040" s="2" t="s">
        <v>166</v>
      </c>
      <c r="G1040" s="2" t="str">
        <f>Table1_1[[#This Row],[Country Name]]&amp;"|"&amp;Table1_1[[#This Row],[Series Name]]&amp;"|"&amp;Table1_1[[#This Row],[Years]]</f>
        <v>Germany|Lending interest rate (%)|2024</v>
      </c>
    </row>
    <row r="1041" spans="1:7" x14ac:dyDescent="0.3">
      <c r="A1041" s="2" t="s">
        <v>149</v>
      </c>
      <c r="B1041" s="2" t="s">
        <v>111</v>
      </c>
      <c r="C1041" s="2" t="s">
        <v>34</v>
      </c>
      <c r="D1041" s="2" t="s">
        <v>17</v>
      </c>
      <c r="E1041" s="2" t="s">
        <v>167</v>
      </c>
      <c r="G1041" s="2" t="str">
        <f>Table1_1[[#This Row],[Country Name]]&amp;"|"&amp;Table1_1[[#This Row],[Series Name]]&amp;"|"&amp;Table1_1[[#This Row],[Years]]</f>
        <v>Germany|Lending interest rate (%)|2025</v>
      </c>
    </row>
    <row r="1042" spans="1:7" x14ac:dyDescent="0.3">
      <c r="A1042" s="2" t="s">
        <v>149</v>
      </c>
      <c r="B1042" s="2" t="s">
        <v>111</v>
      </c>
      <c r="C1042" s="2" t="s">
        <v>83</v>
      </c>
      <c r="D1042" s="2" t="s">
        <v>72</v>
      </c>
      <c r="E1042" s="2" t="s">
        <v>152</v>
      </c>
      <c r="F1042" s="2">
        <v>0.75430899010596097</v>
      </c>
      <c r="G1042" s="2" t="str">
        <f>Table1_1[[#This Row],[Country Name]]&amp;"|"&amp;Table1_1[[#This Row],[Series Name]]&amp;"|"&amp;Table1_1[[#This Row],[Years]]</f>
        <v>Germany|Official exchange rate (LCU per US$, period average)|2010</v>
      </c>
    </row>
    <row r="1043" spans="1:7" x14ac:dyDescent="0.3">
      <c r="A1043" s="2" t="s">
        <v>149</v>
      </c>
      <c r="B1043" s="2" t="s">
        <v>111</v>
      </c>
      <c r="C1043" s="2" t="s">
        <v>83</v>
      </c>
      <c r="D1043" s="2" t="s">
        <v>72</v>
      </c>
      <c r="E1043" s="2" t="s">
        <v>153</v>
      </c>
      <c r="F1043" s="2">
        <v>0.71841389865331695</v>
      </c>
      <c r="G1043" s="2" t="str">
        <f>Table1_1[[#This Row],[Country Name]]&amp;"|"&amp;Table1_1[[#This Row],[Series Name]]&amp;"|"&amp;Table1_1[[#This Row],[Years]]</f>
        <v>Germany|Official exchange rate (LCU per US$, period average)|2011</v>
      </c>
    </row>
    <row r="1044" spans="1:7" x14ac:dyDescent="0.3">
      <c r="A1044" s="2" t="s">
        <v>149</v>
      </c>
      <c r="B1044" s="2" t="s">
        <v>111</v>
      </c>
      <c r="C1044" s="2" t="s">
        <v>83</v>
      </c>
      <c r="D1044" s="2" t="s">
        <v>72</v>
      </c>
      <c r="E1044" s="2" t="s">
        <v>154</v>
      </c>
      <c r="F1044" s="2">
        <v>0.77833812041681205</v>
      </c>
      <c r="G1044" s="2" t="str">
        <f>Table1_1[[#This Row],[Country Name]]&amp;"|"&amp;Table1_1[[#This Row],[Series Name]]&amp;"|"&amp;Table1_1[[#This Row],[Years]]</f>
        <v>Germany|Official exchange rate (LCU per US$, period average)|2012</v>
      </c>
    </row>
    <row r="1045" spans="1:7" x14ac:dyDescent="0.3">
      <c r="A1045" s="2" t="s">
        <v>149</v>
      </c>
      <c r="B1045" s="2" t="s">
        <v>111</v>
      </c>
      <c r="C1045" s="2" t="s">
        <v>83</v>
      </c>
      <c r="D1045" s="2" t="s">
        <v>72</v>
      </c>
      <c r="E1045" s="2" t="s">
        <v>155</v>
      </c>
      <c r="F1045" s="2">
        <v>0.75294512270199598</v>
      </c>
      <c r="G1045" s="2" t="str">
        <f>Table1_1[[#This Row],[Country Name]]&amp;"|"&amp;Table1_1[[#This Row],[Series Name]]&amp;"|"&amp;Table1_1[[#This Row],[Years]]</f>
        <v>Germany|Official exchange rate (LCU per US$, period average)|2013</v>
      </c>
    </row>
    <row r="1046" spans="1:7" x14ac:dyDescent="0.3">
      <c r="A1046" s="2" t="s">
        <v>149</v>
      </c>
      <c r="B1046" s="2" t="s">
        <v>111</v>
      </c>
      <c r="C1046" s="2" t="s">
        <v>83</v>
      </c>
      <c r="D1046" s="2" t="s">
        <v>72</v>
      </c>
      <c r="E1046" s="2" t="s">
        <v>156</v>
      </c>
      <c r="F1046" s="2">
        <v>0.75272819693260296</v>
      </c>
      <c r="G1046" s="2" t="str">
        <f>Table1_1[[#This Row],[Country Name]]&amp;"|"&amp;Table1_1[[#This Row],[Series Name]]&amp;"|"&amp;Table1_1[[#This Row],[Years]]</f>
        <v>Germany|Official exchange rate (LCU per US$, period average)|2014</v>
      </c>
    </row>
    <row r="1047" spans="1:7" x14ac:dyDescent="0.3">
      <c r="A1047" s="2" t="s">
        <v>149</v>
      </c>
      <c r="B1047" s="2" t="s">
        <v>111</v>
      </c>
      <c r="C1047" s="2" t="s">
        <v>83</v>
      </c>
      <c r="D1047" s="2" t="s">
        <v>72</v>
      </c>
      <c r="E1047" s="2" t="s">
        <v>157</v>
      </c>
      <c r="F1047" s="2">
        <v>0.90129642336709603</v>
      </c>
      <c r="G1047" s="2" t="str">
        <f>Table1_1[[#This Row],[Country Name]]&amp;"|"&amp;Table1_1[[#This Row],[Series Name]]&amp;"|"&amp;Table1_1[[#This Row],[Years]]</f>
        <v>Germany|Official exchange rate (LCU per US$, period average)|2015</v>
      </c>
    </row>
    <row r="1048" spans="1:7" x14ac:dyDescent="0.3">
      <c r="A1048" s="2" t="s">
        <v>149</v>
      </c>
      <c r="B1048" s="2" t="s">
        <v>111</v>
      </c>
      <c r="C1048" s="2" t="s">
        <v>83</v>
      </c>
      <c r="D1048" s="2" t="s">
        <v>72</v>
      </c>
      <c r="E1048" s="2" t="s">
        <v>158</v>
      </c>
      <c r="F1048" s="2">
        <v>0.90342143625726301</v>
      </c>
      <c r="G1048" s="2" t="str">
        <f>Table1_1[[#This Row],[Country Name]]&amp;"|"&amp;Table1_1[[#This Row],[Series Name]]&amp;"|"&amp;Table1_1[[#This Row],[Years]]</f>
        <v>Germany|Official exchange rate (LCU per US$, period average)|2016</v>
      </c>
    </row>
    <row r="1049" spans="1:7" x14ac:dyDescent="0.3">
      <c r="A1049" s="2" t="s">
        <v>149</v>
      </c>
      <c r="B1049" s="2" t="s">
        <v>111</v>
      </c>
      <c r="C1049" s="2" t="s">
        <v>83</v>
      </c>
      <c r="D1049" s="2" t="s">
        <v>72</v>
      </c>
      <c r="E1049" s="2" t="s">
        <v>159</v>
      </c>
      <c r="F1049" s="2">
        <v>0.88520550826937205</v>
      </c>
      <c r="G1049" s="2" t="str">
        <f>Table1_1[[#This Row],[Country Name]]&amp;"|"&amp;Table1_1[[#This Row],[Series Name]]&amp;"|"&amp;Table1_1[[#This Row],[Years]]</f>
        <v>Germany|Official exchange rate (LCU per US$, period average)|2017</v>
      </c>
    </row>
    <row r="1050" spans="1:7" x14ac:dyDescent="0.3">
      <c r="A1050" s="2" t="s">
        <v>149</v>
      </c>
      <c r="B1050" s="2" t="s">
        <v>111</v>
      </c>
      <c r="C1050" s="2" t="s">
        <v>83</v>
      </c>
      <c r="D1050" s="2" t="s">
        <v>72</v>
      </c>
      <c r="E1050" s="2" t="s">
        <v>160</v>
      </c>
      <c r="F1050" s="2">
        <v>0.84677266710811105</v>
      </c>
      <c r="G1050" s="2" t="str">
        <f>Table1_1[[#This Row],[Country Name]]&amp;"|"&amp;Table1_1[[#This Row],[Series Name]]&amp;"|"&amp;Table1_1[[#This Row],[Years]]</f>
        <v>Germany|Official exchange rate (LCU per US$, period average)|2018</v>
      </c>
    </row>
    <row r="1051" spans="1:7" x14ac:dyDescent="0.3">
      <c r="A1051" s="2" t="s">
        <v>149</v>
      </c>
      <c r="B1051" s="2" t="s">
        <v>111</v>
      </c>
      <c r="C1051" s="2" t="s">
        <v>83</v>
      </c>
      <c r="D1051" s="2" t="s">
        <v>72</v>
      </c>
      <c r="E1051" s="2" t="s">
        <v>161</v>
      </c>
      <c r="F1051" s="2">
        <v>0.89327625706740899</v>
      </c>
      <c r="G1051" s="2" t="str">
        <f>Table1_1[[#This Row],[Country Name]]&amp;"|"&amp;Table1_1[[#This Row],[Series Name]]&amp;"|"&amp;Table1_1[[#This Row],[Years]]</f>
        <v>Germany|Official exchange rate (LCU per US$, period average)|2019</v>
      </c>
    </row>
    <row r="1052" spans="1:7" x14ac:dyDescent="0.3">
      <c r="A1052" s="2" t="s">
        <v>149</v>
      </c>
      <c r="B1052" s="2" t="s">
        <v>111</v>
      </c>
      <c r="C1052" s="2" t="s">
        <v>83</v>
      </c>
      <c r="D1052" s="2" t="s">
        <v>72</v>
      </c>
      <c r="E1052" s="2" t="s">
        <v>162</v>
      </c>
      <c r="F1052" s="2">
        <v>0.87550639698799804</v>
      </c>
      <c r="G1052" s="2" t="str">
        <f>Table1_1[[#This Row],[Country Name]]&amp;"|"&amp;Table1_1[[#This Row],[Series Name]]&amp;"|"&amp;Table1_1[[#This Row],[Years]]</f>
        <v>Germany|Official exchange rate (LCU per US$, period average)|2020</v>
      </c>
    </row>
    <row r="1053" spans="1:7" x14ac:dyDescent="0.3">
      <c r="A1053" s="2" t="s">
        <v>149</v>
      </c>
      <c r="B1053" s="2" t="s">
        <v>111</v>
      </c>
      <c r="C1053" s="2" t="s">
        <v>83</v>
      </c>
      <c r="D1053" s="2" t="s">
        <v>72</v>
      </c>
      <c r="E1053" s="2" t="s">
        <v>163</v>
      </c>
      <c r="F1053" s="2">
        <v>0.84549413889045</v>
      </c>
      <c r="G1053" s="2" t="str">
        <f>Table1_1[[#This Row],[Country Name]]&amp;"|"&amp;Table1_1[[#This Row],[Series Name]]&amp;"|"&amp;Table1_1[[#This Row],[Years]]</f>
        <v>Germany|Official exchange rate (LCU per US$, period average)|2021</v>
      </c>
    </row>
    <row r="1054" spans="1:7" x14ac:dyDescent="0.3">
      <c r="A1054" s="2" t="s">
        <v>149</v>
      </c>
      <c r="B1054" s="2" t="s">
        <v>111</v>
      </c>
      <c r="C1054" s="2" t="s">
        <v>83</v>
      </c>
      <c r="D1054" s="2" t="s">
        <v>72</v>
      </c>
      <c r="E1054" s="2" t="s">
        <v>164</v>
      </c>
      <c r="F1054" s="2">
        <v>0.94962375315694103</v>
      </c>
      <c r="G1054" s="2" t="str">
        <f>Table1_1[[#This Row],[Country Name]]&amp;"|"&amp;Table1_1[[#This Row],[Series Name]]&amp;"|"&amp;Table1_1[[#This Row],[Years]]</f>
        <v>Germany|Official exchange rate (LCU per US$, period average)|2022</v>
      </c>
    </row>
    <row r="1055" spans="1:7" x14ac:dyDescent="0.3">
      <c r="A1055" s="2" t="s">
        <v>149</v>
      </c>
      <c r="B1055" s="2" t="s">
        <v>111</v>
      </c>
      <c r="C1055" s="2" t="s">
        <v>83</v>
      </c>
      <c r="D1055" s="2" t="s">
        <v>72</v>
      </c>
      <c r="E1055" s="2" t="s">
        <v>165</v>
      </c>
      <c r="F1055" s="2">
        <v>0.92483955847069799</v>
      </c>
      <c r="G1055" s="2" t="str">
        <f>Table1_1[[#This Row],[Country Name]]&amp;"|"&amp;Table1_1[[#This Row],[Series Name]]&amp;"|"&amp;Table1_1[[#This Row],[Years]]</f>
        <v>Germany|Official exchange rate (LCU per US$, period average)|2023</v>
      </c>
    </row>
    <row r="1056" spans="1:7" x14ac:dyDescent="0.3">
      <c r="A1056" s="2" t="s">
        <v>149</v>
      </c>
      <c r="B1056" s="2" t="s">
        <v>111</v>
      </c>
      <c r="C1056" s="2" t="s">
        <v>83</v>
      </c>
      <c r="D1056" s="2" t="s">
        <v>72</v>
      </c>
      <c r="E1056" s="2" t="s">
        <v>166</v>
      </c>
      <c r="F1056" s="2">
        <v>0.92388954611760699</v>
      </c>
      <c r="G1056" s="2" t="str">
        <f>Table1_1[[#This Row],[Country Name]]&amp;"|"&amp;Table1_1[[#This Row],[Series Name]]&amp;"|"&amp;Table1_1[[#This Row],[Years]]</f>
        <v>Germany|Official exchange rate (LCU per US$, period average)|2024</v>
      </c>
    </row>
    <row r="1057" spans="1:7" x14ac:dyDescent="0.3">
      <c r="A1057" s="2" t="s">
        <v>149</v>
      </c>
      <c r="B1057" s="2" t="s">
        <v>111</v>
      </c>
      <c r="C1057" s="2" t="s">
        <v>83</v>
      </c>
      <c r="D1057" s="2" t="s">
        <v>72</v>
      </c>
      <c r="E1057" s="2" t="s">
        <v>167</v>
      </c>
      <c r="F1057" s="2">
        <v>0.88496895841236001</v>
      </c>
      <c r="G1057" s="2" t="str">
        <f>Table1_1[[#This Row],[Country Name]]&amp;"|"&amp;Table1_1[[#This Row],[Series Name]]&amp;"|"&amp;Table1_1[[#This Row],[Years]]</f>
        <v>Germany|Official exchange rate (LCU per US$, period average)|2025</v>
      </c>
    </row>
    <row r="1058" spans="1:7" x14ac:dyDescent="0.3">
      <c r="A1058" s="2" t="s">
        <v>149</v>
      </c>
      <c r="B1058" s="2" t="s">
        <v>111</v>
      </c>
      <c r="C1058" s="2" t="s">
        <v>70</v>
      </c>
      <c r="D1058" s="2" t="s">
        <v>147</v>
      </c>
      <c r="E1058" s="2" t="s">
        <v>152</v>
      </c>
      <c r="F1058" s="2">
        <v>39.49534654298234</v>
      </c>
      <c r="G1058" s="2" t="str">
        <f>Table1_1[[#This Row],[Country Name]]&amp;"|"&amp;Table1_1[[#This Row],[Series Name]]&amp;"|"&amp;Table1_1[[#This Row],[Years]]</f>
        <v>Germany|Exports of goods and services (% of GDP)|2010</v>
      </c>
    </row>
    <row r="1059" spans="1:7" x14ac:dyDescent="0.3">
      <c r="A1059" s="2" t="s">
        <v>149</v>
      </c>
      <c r="B1059" s="2" t="s">
        <v>111</v>
      </c>
      <c r="C1059" s="2" t="s">
        <v>70</v>
      </c>
      <c r="D1059" s="2" t="s">
        <v>147</v>
      </c>
      <c r="E1059" s="2" t="s">
        <v>153</v>
      </c>
      <c r="F1059" s="2">
        <v>41.643628659111506</v>
      </c>
      <c r="G1059" s="2" t="str">
        <f>Table1_1[[#This Row],[Country Name]]&amp;"|"&amp;Table1_1[[#This Row],[Series Name]]&amp;"|"&amp;Table1_1[[#This Row],[Years]]</f>
        <v>Germany|Exports of goods and services (% of GDP)|2011</v>
      </c>
    </row>
    <row r="1060" spans="1:7" x14ac:dyDescent="0.3">
      <c r="A1060" s="2" t="s">
        <v>149</v>
      </c>
      <c r="B1060" s="2" t="s">
        <v>111</v>
      </c>
      <c r="C1060" s="2" t="s">
        <v>70</v>
      </c>
      <c r="D1060" s="2" t="s">
        <v>147</v>
      </c>
      <c r="E1060" s="2" t="s">
        <v>154</v>
      </c>
      <c r="F1060" s="2">
        <v>42.685583435740618</v>
      </c>
      <c r="G1060" s="2" t="str">
        <f>Table1_1[[#This Row],[Country Name]]&amp;"|"&amp;Table1_1[[#This Row],[Series Name]]&amp;"|"&amp;Table1_1[[#This Row],[Years]]</f>
        <v>Germany|Exports of goods and services (% of GDP)|2012</v>
      </c>
    </row>
    <row r="1061" spans="1:7" x14ac:dyDescent="0.3">
      <c r="A1061" s="2" t="s">
        <v>149</v>
      </c>
      <c r="B1061" s="2" t="s">
        <v>111</v>
      </c>
      <c r="C1061" s="2" t="s">
        <v>70</v>
      </c>
      <c r="D1061" s="2" t="s">
        <v>147</v>
      </c>
      <c r="E1061" s="2" t="s">
        <v>155</v>
      </c>
      <c r="F1061" s="2">
        <v>41.680283832435599</v>
      </c>
      <c r="G1061" s="2" t="str">
        <f>Table1_1[[#This Row],[Country Name]]&amp;"|"&amp;Table1_1[[#This Row],[Series Name]]&amp;"|"&amp;Table1_1[[#This Row],[Years]]</f>
        <v>Germany|Exports of goods and services (% of GDP)|2013</v>
      </c>
    </row>
    <row r="1062" spans="1:7" x14ac:dyDescent="0.3">
      <c r="A1062" s="2" t="s">
        <v>149</v>
      </c>
      <c r="B1062" s="2" t="s">
        <v>111</v>
      </c>
      <c r="C1062" s="2" t="s">
        <v>70</v>
      </c>
      <c r="D1062" s="2" t="s">
        <v>147</v>
      </c>
      <c r="E1062" s="2" t="s">
        <v>156</v>
      </c>
      <c r="F1062" s="2">
        <v>41.693667552362726</v>
      </c>
      <c r="G1062" s="2" t="str">
        <f>Table1_1[[#This Row],[Country Name]]&amp;"|"&amp;Table1_1[[#This Row],[Series Name]]&amp;"|"&amp;Table1_1[[#This Row],[Years]]</f>
        <v>Germany|Exports of goods and services (% of GDP)|2014</v>
      </c>
    </row>
    <row r="1063" spans="1:7" x14ac:dyDescent="0.3">
      <c r="A1063" s="2" t="s">
        <v>149</v>
      </c>
      <c r="B1063" s="2" t="s">
        <v>111</v>
      </c>
      <c r="C1063" s="2" t="s">
        <v>70</v>
      </c>
      <c r="D1063" s="2" t="s">
        <v>147</v>
      </c>
      <c r="E1063" s="2" t="s">
        <v>157</v>
      </c>
      <c r="F1063" s="2">
        <v>42.585397615183524</v>
      </c>
      <c r="G1063" s="2" t="str">
        <f>Table1_1[[#This Row],[Country Name]]&amp;"|"&amp;Table1_1[[#This Row],[Series Name]]&amp;"|"&amp;Table1_1[[#This Row],[Years]]</f>
        <v>Germany|Exports of goods and services (% of GDP)|2015</v>
      </c>
    </row>
    <row r="1064" spans="1:7" x14ac:dyDescent="0.3">
      <c r="A1064" s="2" t="s">
        <v>149</v>
      </c>
      <c r="B1064" s="2" t="s">
        <v>111</v>
      </c>
      <c r="C1064" s="2" t="s">
        <v>70</v>
      </c>
      <c r="D1064" s="2" t="s">
        <v>147</v>
      </c>
      <c r="E1064" s="2" t="s">
        <v>158</v>
      </c>
      <c r="F1064" s="2">
        <v>41.635541951859189</v>
      </c>
      <c r="G1064" s="2" t="str">
        <f>Table1_1[[#This Row],[Country Name]]&amp;"|"&amp;Table1_1[[#This Row],[Series Name]]&amp;"|"&amp;Table1_1[[#This Row],[Years]]</f>
        <v>Germany|Exports of goods and services (% of GDP)|2016</v>
      </c>
    </row>
    <row r="1065" spans="1:7" x14ac:dyDescent="0.3">
      <c r="A1065" s="2" t="s">
        <v>149</v>
      </c>
      <c r="B1065" s="2" t="s">
        <v>111</v>
      </c>
      <c r="C1065" s="2" t="s">
        <v>70</v>
      </c>
      <c r="D1065" s="2" t="s">
        <v>147</v>
      </c>
      <c r="E1065" s="2" t="s">
        <v>159</v>
      </c>
      <c r="F1065" s="2">
        <v>42.202957598159074</v>
      </c>
      <c r="G1065" s="2" t="str">
        <f>Table1_1[[#This Row],[Country Name]]&amp;"|"&amp;Table1_1[[#This Row],[Series Name]]&amp;"|"&amp;Table1_1[[#This Row],[Years]]</f>
        <v>Germany|Exports of goods and services (% of GDP)|2017</v>
      </c>
    </row>
    <row r="1066" spans="1:7" x14ac:dyDescent="0.3">
      <c r="A1066" s="2" t="s">
        <v>149</v>
      </c>
      <c r="B1066" s="2" t="s">
        <v>111</v>
      </c>
      <c r="C1066" s="2" t="s">
        <v>70</v>
      </c>
      <c r="D1066" s="2" t="s">
        <v>147</v>
      </c>
      <c r="E1066" s="2" t="s">
        <v>160</v>
      </c>
      <c r="F1066" s="2">
        <v>42.496891407471686</v>
      </c>
      <c r="G1066" s="2" t="str">
        <f>Table1_1[[#This Row],[Country Name]]&amp;"|"&amp;Table1_1[[#This Row],[Series Name]]&amp;"|"&amp;Table1_1[[#This Row],[Years]]</f>
        <v>Germany|Exports of goods and services (% of GDP)|2018</v>
      </c>
    </row>
    <row r="1067" spans="1:7" x14ac:dyDescent="0.3">
      <c r="A1067" s="2" t="s">
        <v>149</v>
      </c>
      <c r="B1067" s="2" t="s">
        <v>111</v>
      </c>
      <c r="C1067" s="2" t="s">
        <v>70</v>
      </c>
      <c r="D1067" s="2" t="s">
        <v>147</v>
      </c>
      <c r="E1067" s="2" t="s">
        <v>161</v>
      </c>
      <c r="F1067" s="2">
        <v>42.340244481635608</v>
      </c>
      <c r="G1067" s="2" t="str">
        <f>Table1_1[[#This Row],[Country Name]]&amp;"|"&amp;Table1_1[[#This Row],[Series Name]]&amp;"|"&amp;Table1_1[[#This Row],[Years]]</f>
        <v>Germany|Exports of goods and services (% of GDP)|2019</v>
      </c>
    </row>
    <row r="1068" spans="1:7" x14ac:dyDescent="0.3">
      <c r="A1068" s="2" t="s">
        <v>149</v>
      </c>
      <c r="B1068" s="2" t="s">
        <v>111</v>
      </c>
      <c r="C1068" s="2" t="s">
        <v>70</v>
      </c>
      <c r="D1068" s="2" t="s">
        <v>147</v>
      </c>
      <c r="E1068" s="2" t="s">
        <v>162</v>
      </c>
      <c r="F1068" s="2">
        <v>39.119806880882827</v>
      </c>
      <c r="G1068" s="2" t="str">
        <f>Table1_1[[#This Row],[Country Name]]&amp;"|"&amp;Table1_1[[#This Row],[Series Name]]&amp;"|"&amp;Table1_1[[#This Row],[Years]]</f>
        <v>Germany|Exports of goods and services (% of GDP)|2020</v>
      </c>
    </row>
    <row r="1069" spans="1:7" x14ac:dyDescent="0.3">
      <c r="A1069" s="2" t="s">
        <v>149</v>
      </c>
      <c r="B1069" s="2" t="s">
        <v>111</v>
      </c>
      <c r="C1069" s="2" t="s">
        <v>70</v>
      </c>
      <c r="D1069" s="2" t="s">
        <v>147</v>
      </c>
      <c r="E1069" s="2" t="s">
        <v>163</v>
      </c>
      <c r="F1069" s="2">
        <v>42.519837929142881</v>
      </c>
      <c r="G1069" s="2" t="str">
        <f>Table1_1[[#This Row],[Country Name]]&amp;"|"&amp;Table1_1[[#This Row],[Series Name]]&amp;"|"&amp;Table1_1[[#This Row],[Years]]</f>
        <v>Germany|Exports of goods and services (% of GDP)|2021</v>
      </c>
    </row>
    <row r="1070" spans="1:7" x14ac:dyDescent="0.3">
      <c r="A1070" s="2" t="s">
        <v>149</v>
      </c>
      <c r="B1070" s="2" t="s">
        <v>111</v>
      </c>
      <c r="C1070" s="2" t="s">
        <v>70</v>
      </c>
      <c r="D1070" s="2" t="s">
        <v>147</v>
      </c>
      <c r="E1070" s="2" t="s">
        <v>164</v>
      </c>
      <c r="F1070" s="2">
        <v>45.628404342518529</v>
      </c>
      <c r="G1070" s="2" t="str">
        <f>Table1_1[[#This Row],[Country Name]]&amp;"|"&amp;Table1_1[[#This Row],[Series Name]]&amp;"|"&amp;Table1_1[[#This Row],[Years]]</f>
        <v>Germany|Exports of goods and services (% of GDP)|2022</v>
      </c>
    </row>
    <row r="1071" spans="1:7" x14ac:dyDescent="0.3">
      <c r="A1071" s="2" t="s">
        <v>149</v>
      </c>
      <c r="B1071" s="2" t="s">
        <v>111</v>
      </c>
      <c r="C1071" s="2" t="s">
        <v>70</v>
      </c>
      <c r="D1071" s="2" t="s">
        <v>147</v>
      </c>
      <c r="E1071" s="2" t="s">
        <v>165</v>
      </c>
      <c r="F1071" s="2">
        <v>42.967262419684737</v>
      </c>
      <c r="G1071" s="2" t="str">
        <f>Table1_1[[#This Row],[Country Name]]&amp;"|"&amp;Table1_1[[#This Row],[Series Name]]&amp;"|"&amp;Table1_1[[#This Row],[Years]]</f>
        <v>Germany|Exports of goods and services (% of GDP)|2023</v>
      </c>
    </row>
    <row r="1072" spans="1:7" x14ac:dyDescent="0.3">
      <c r="A1072" s="2" t="s">
        <v>149</v>
      </c>
      <c r="B1072" s="2" t="s">
        <v>111</v>
      </c>
      <c r="C1072" s="2" t="s">
        <v>70</v>
      </c>
      <c r="D1072" s="2" t="s">
        <v>147</v>
      </c>
      <c r="E1072" s="2" t="s">
        <v>166</v>
      </c>
      <c r="F1072" s="2">
        <v>41.434059372090822</v>
      </c>
      <c r="G1072" s="2" t="str">
        <f>Table1_1[[#This Row],[Country Name]]&amp;"|"&amp;Table1_1[[#This Row],[Series Name]]&amp;"|"&amp;Table1_1[[#This Row],[Years]]</f>
        <v>Germany|Exports of goods and services (% of GDP)|2024</v>
      </c>
    </row>
    <row r="1073" spans="1:7" x14ac:dyDescent="0.3">
      <c r="A1073" s="2" t="s">
        <v>149</v>
      </c>
      <c r="B1073" s="2" t="s">
        <v>111</v>
      </c>
      <c r="C1073" s="2" t="s">
        <v>70</v>
      </c>
      <c r="D1073" s="2" t="s">
        <v>147</v>
      </c>
      <c r="E1073" s="2" t="s">
        <v>167</v>
      </c>
      <c r="F1073" s="2">
        <v>40.434773854507142</v>
      </c>
      <c r="G1073" s="2" t="str">
        <f>Table1_1[[#This Row],[Country Name]]&amp;"|"&amp;Table1_1[[#This Row],[Series Name]]&amp;"|"&amp;Table1_1[[#This Row],[Years]]</f>
        <v>Germany|Exports of goods and services (% of GDP)|2025</v>
      </c>
    </row>
    <row r="1074" spans="1:7" x14ac:dyDescent="0.3">
      <c r="A1074" s="2" t="s">
        <v>149</v>
      </c>
      <c r="B1074" s="2" t="s">
        <v>111</v>
      </c>
      <c r="C1074" s="2" t="s">
        <v>56</v>
      </c>
      <c r="D1074" s="2" t="s">
        <v>14</v>
      </c>
      <c r="E1074" s="2" t="s">
        <v>152</v>
      </c>
      <c r="F1074" s="2">
        <v>34.389888577043962</v>
      </c>
      <c r="G1074" s="2" t="str">
        <f>Table1_1[[#This Row],[Country Name]]&amp;"|"&amp;Table1_1[[#This Row],[Series Name]]&amp;"|"&amp;Table1_1[[#This Row],[Years]]</f>
        <v>Germany|Imports of goods and services (% of GDP)|2010</v>
      </c>
    </row>
    <row r="1075" spans="1:7" x14ac:dyDescent="0.3">
      <c r="A1075" s="2" t="s">
        <v>149</v>
      </c>
      <c r="B1075" s="2" t="s">
        <v>111</v>
      </c>
      <c r="C1075" s="2" t="s">
        <v>56</v>
      </c>
      <c r="D1075" s="2" t="s">
        <v>14</v>
      </c>
      <c r="E1075" s="2" t="s">
        <v>153</v>
      </c>
      <c r="F1075" s="2">
        <v>36.789374242330474</v>
      </c>
      <c r="G1075" s="2" t="str">
        <f>Table1_1[[#This Row],[Country Name]]&amp;"|"&amp;Table1_1[[#This Row],[Series Name]]&amp;"|"&amp;Table1_1[[#This Row],[Years]]</f>
        <v>Germany|Imports of goods and services (% of GDP)|2011</v>
      </c>
    </row>
    <row r="1076" spans="1:7" x14ac:dyDescent="0.3">
      <c r="A1076" s="2" t="s">
        <v>149</v>
      </c>
      <c r="B1076" s="2" t="s">
        <v>111</v>
      </c>
      <c r="C1076" s="2" t="s">
        <v>56</v>
      </c>
      <c r="D1076" s="2" t="s">
        <v>14</v>
      </c>
      <c r="E1076" s="2" t="s">
        <v>154</v>
      </c>
      <c r="F1076" s="2">
        <v>36.646066131290908</v>
      </c>
      <c r="G1076" s="2" t="str">
        <f>Table1_1[[#This Row],[Country Name]]&amp;"|"&amp;Table1_1[[#This Row],[Series Name]]&amp;"|"&amp;Table1_1[[#This Row],[Years]]</f>
        <v>Germany|Imports of goods and services (% of GDP)|2012</v>
      </c>
    </row>
    <row r="1077" spans="1:7" x14ac:dyDescent="0.3">
      <c r="A1077" s="2" t="s">
        <v>149</v>
      </c>
      <c r="B1077" s="2" t="s">
        <v>111</v>
      </c>
      <c r="C1077" s="2" t="s">
        <v>56</v>
      </c>
      <c r="D1077" s="2" t="s">
        <v>14</v>
      </c>
      <c r="E1077" s="2" t="s">
        <v>155</v>
      </c>
      <c r="F1077" s="2">
        <v>35.90574502525746</v>
      </c>
      <c r="G1077" s="2" t="str">
        <f>Table1_1[[#This Row],[Country Name]]&amp;"|"&amp;Table1_1[[#This Row],[Series Name]]&amp;"|"&amp;Table1_1[[#This Row],[Years]]</f>
        <v>Germany|Imports of goods and services (% of GDP)|2013</v>
      </c>
    </row>
    <row r="1078" spans="1:7" x14ac:dyDescent="0.3">
      <c r="A1078" s="2" t="s">
        <v>149</v>
      </c>
      <c r="B1078" s="2" t="s">
        <v>111</v>
      </c>
      <c r="C1078" s="2" t="s">
        <v>56</v>
      </c>
      <c r="D1078" s="2" t="s">
        <v>14</v>
      </c>
      <c r="E1078" s="2" t="s">
        <v>156</v>
      </c>
      <c r="F1078" s="2">
        <v>35.154684081260662</v>
      </c>
      <c r="G1078" s="2" t="str">
        <f>Table1_1[[#This Row],[Country Name]]&amp;"|"&amp;Table1_1[[#This Row],[Series Name]]&amp;"|"&amp;Table1_1[[#This Row],[Years]]</f>
        <v>Germany|Imports of goods and services (% of GDP)|2014</v>
      </c>
    </row>
    <row r="1079" spans="1:7" x14ac:dyDescent="0.3">
      <c r="A1079" s="2" t="s">
        <v>149</v>
      </c>
      <c r="B1079" s="2" t="s">
        <v>111</v>
      </c>
      <c r="C1079" s="2" t="s">
        <v>56</v>
      </c>
      <c r="D1079" s="2" t="s">
        <v>14</v>
      </c>
      <c r="E1079" s="2" t="s">
        <v>157</v>
      </c>
      <c r="F1079" s="2">
        <v>35.171183953508709</v>
      </c>
      <c r="G1079" s="2" t="str">
        <f>Table1_1[[#This Row],[Country Name]]&amp;"|"&amp;Table1_1[[#This Row],[Series Name]]&amp;"|"&amp;Table1_1[[#This Row],[Years]]</f>
        <v>Germany|Imports of goods and services (% of GDP)|2015</v>
      </c>
    </row>
    <row r="1080" spans="1:7" x14ac:dyDescent="0.3">
      <c r="A1080" s="2" t="s">
        <v>149</v>
      </c>
      <c r="B1080" s="2" t="s">
        <v>111</v>
      </c>
      <c r="C1080" s="2" t="s">
        <v>56</v>
      </c>
      <c r="D1080" s="2" t="s">
        <v>14</v>
      </c>
      <c r="E1080" s="2" t="s">
        <v>158</v>
      </c>
      <c r="F1080" s="2">
        <v>34.370448264746287</v>
      </c>
      <c r="G1080" s="2" t="str">
        <f>Table1_1[[#This Row],[Country Name]]&amp;"|"&amp;Table1_1[[#This Row],[Series Name]]&amp;"|"&amp;Table1_1[[#This Row],[Years]]</f>
        <v>Germany|Imports of goods and services (% of GDP)|2016</v>
      </c>
    </row>
    <row r="1081" spans="1:7" x14ac:dyDescent="0.3">
      <c r="A1081" s="2" t="s">
        <v>149</v>
      </c>
      <c r="B1081" s="2" t="s">
        <v>111</v>
      </c>
      <c r="C1081" s="2" t="s">
        <v>56</v>
      </c>
      <c r="D1081" s="2" t="s">
        <v>14</v>
      </c>
      <c r="E1081" s="2" t="s">
        <v>159</v>
      </c>
      <c r="F1081" s="2">
        <v>35.251881876085697</v>
      </c>
      <c r="G1081" s="2" t="str">
        <f>Table1_1[[#This Row],[Country Name]]&amp;"|"&amp;Table1_1[[#This Row],[Series Name]]&amp;"|"&amp;Table1_1[[#This Row],[Years]]</f>
        <v>Germany|Imports of goods and services (% of GDP)|2017</v>
      </c>
    </row>
    <row r="1082" spans="1:7" x14ac:dyDescent="0.3">
      <c r="A1082" s="2" t="s">
        <v>149</v>
      </c>
      <c r="B1082" s="2" t="s">
        <v>111</v>
      </c>
      <c r="C1082" s="2" t="s">
        <v>56</v>
      </c>
      <c r="D1082" s="2" t="s">
        <v>14</v>
      </c>
      <c r="E1082" s="2" t="s">
        <v>160</v>
      </c>
      <c r="F1082" s="2">
        <v>36.628334638893662</v>
      </c>
      <c r="G1082" s="2" t="str">
        <f>Table1_1[[#This Row],[Country Name]]&amp;"|"&amp;Table1_1[[#This Row],[Series Name]]&amp;"|"&amp;Table1_1[[#This Row],[Years]]</f>
        <v>Germany|Imports of goods and services (% of GDP)|2018</v>
      </c>
    </row>
    <row r="1083" spans="1:7" x14ac:dyDescent="0.3">
      <c r="A1083" s="2" t="s">
        <v>149</v>
      </c>
      <c r="B1083" s="2" t="s">
        <v>111</v>
      </c>
      <c r="C1083" s="2" t="s">
        <v>56</v>
      </c>
      <c r="D1083" s="2" t="s">
        <v>14</v>
      </c>
      <c r="E1083" s="2" t="s">
        <v>161</v>
      </c>
      <c r="F1083" s="2">
        <v>36.732998235932698</v>
      </c>
      <c r="G1083" s="2" t="str">
        <f>Table1_1[[#This Row],[Country Name]]&amp;"|"&amp;Table1_1[[#This Row],[Series Name]]&amp;"|"&amp;Table1_1[[#This Row],[Years]]</f>
        <v>Germany|Imports of goods and services (% of GDP)|2019</v>
      </c>
    </row>
    <row r="1084" spans="1:7" x14ac:dyDescent="0.3">
      <c r="A1084" s="2" t="s">
        <v>149</v>
      </c>
      <c r="B1084" s="2" t="s">
        <v>111</v>
      </c>
      <c r="C1084" s="2" t="s">
        <v>56</v>
      </c>
      <c r="D1084" s="2" t="s">
        <v>14</v>
      </c>
      <c r="E1084" s="2" t="s">
        <v>162</v>
      </c>
      <c r="F1084" s="2">
        <v>33.813725831130895</v>
      </c>
      <c r="G1084" s="2" t="str">
        <f>Table1_1[[#This Row],[Country Name]]&amp;"|"&amp;Table1_1[[#This Row],[Series Name]]&amp;"|"&amp;Table1_1[[#This Row],[Years]]</f>
        <v>Germany|Imports of goods and services (% of GDP)|2020</v>
      </c>
    </row>
    <row r="1085" spans="1:7" x14ac:dyDescent="0.3">
      <c r="A1085" s="2" t="s">
        <v>149</v>
      </c>
      <c r="B1085" s="2" t="s">
        <v>111</v>
      </c>
      <c r="C1085" s="2" t="s">
        <v>56</v>
      </c>
      <c r="D1085" s="2" t="s">
        <v>14</v>
      </c>
      <c r="E1085" s="2" t="s">
        <v>163</v>
      </c>
      <c r="F1085" s="2">
        <v>37.39969693184225</v>
      </c>
      <c r="G1085" s="2" t="str">
        <f>Table1_1[[#This Row],[Country Name]]&amp;"|"&amp;Table1_1[[#This Row],[Series Name]]&amp;"|"&amp;Table1_1[[#This Row],[Years]]</f>
        <v>Germany|Imports of goods and services (% of GDP)|2021</v>
      </c>
    </row>
    <row r="1086" spans="1:7" x14ac:dyDescent="0.3">
      <c r="A1086" s="2" t="s">
        <v>149</v>
      </c>
      <c r="B1086" s="2" t="s">
        <v>111</v>
      </c>
      <c r="C1086" s="2" t="s">
        <v>56</v>
      </c>
      <c r="D1086" s="2" t="s">
        <v>14</v>
      </c>
      <c r="E1086" s="2" t="s">
        <v>164</v>
      </c>
      <c r="F1086" s="2">
        <v>43.157349870531583</v>
      </c>
      <c r="G1086" s="2" t="str">
        <f>Table1_1[[#This Row],[Country Name]]&amp;"|"&amp;Table1_1[[#This Row],[Series Name]]&amp;"|"&amp;Table1_1[[#This Row],[Years]]</f>
        <v>Germany|Imports of goods and services (% of GDP)|2022</v>
      </c>
    </row>
    <row r="1087" spans="1:7" x14ac:dyDescent="0.3">
      <c r="A1087" s="2" t="s">
        <v>149</v>
      </c>
      <c r="B1087" s="2" t="s">
        <v>111</v>
      </c>
      <c r="C1087" s="2" t="s">
        <v>56</v>
      </c>
      <c r="D1087" s="2" t="s">
        <v>14</v>
      </c>
      <c r="E1087" s="2" t="s">
        <v>165</v>
      </c>
      <c r="F1087" s="2">
        <v>38.995285959078615</v>
      </c>
      <c r="G1087" s="2" t="str">
        <f>Table1_1[[#This Row],[Country Name]]&amp;"|"&amp;Table1_1[[#This Row],[Series Name]]&amp;"|"&amp;Table1_1[[#This Row],[Years]]</f>
        <v>Germany|Imports of goods and services (% of GDP)|2023</v>
      </c>
    </row>
    <row r="1088" spans="1:7" x14ac:dyDescent="0.3">
      <c r="A1088" s="2" t="s">
        <v>149</v>
      </c>
      <c r="B1088" s="2" t="s">
        <v>111</v>
      </c>
      <c r="C1088" s="2" t="s">
        <v>56</v>
      </c>
      <c r="D1088" s="2" t="s">
        <v>14</v>
      </c>
      <c r="E1088" s="2" t="s">
        <v>166</v>
      </c>
      <c r="F1088" s="2">
        <v>37.656671217402753</v>
      </c>
      <c r="G1088" s="2" t="str">
        <f>Table1_1[[#This Row],[Country Name]]&amp;"|"&amp;Table1_1[[#This Row],[Series Name]]&amp;"|"&amp;Table1_1[[#This Row],[Years]]</f>
        <v>Germany|Imports of goods and services (% of GDP)|2024</v>
      </c>
    </row>
    <row r="1089" spans="1:7" x14ac:dyDescent="0.3">
      <c r="A1089" s="2" t="s">
        <v>149</v>
      </c>
      <c r="B1089" s="2" t="s">
        <v>111</v>
      </c>
      <c r="C1089" s="2" t="s">
        <v>56</v>
      </c>
      <c r="D1089" s="2" t="s">
        <v>14</v>
      </c>
      <c r="E1089" s="2" t="s">
        <v>167</v>
      </c>
      <c r="F1089" s="2">
        <v>38.078037365405564</v>
      </c>
      <c r="G1089" s="2" t="str">
        <f>Table1_1[[#This Row],[Country Name]]&amp;"|"&amp;Table1_1[[#This Row],[Series Name]]&amp;"|"&amp;Table1_1[[#This Row],[Years]]</f>
        <v>Germany|Imports of goods and services (% of GDP)|2025</v>
      </c>
    </row>
    <row r="1090" spans="1:7" x14ac:dyDescent="0.3">
      <c r="A1090" s="2" t="s">
        <v>149</v>
      </c>
      <c r="B1090" s="2" t="s">
        <v>111</v>
      </c>
      <c r="C1090" s="2" t="s">
        <v>13</v>
      </c>
      <c r="D1090" s="2" t="s">
        <v>123</v>
      </c>
      <c r="E1090" s="2" t="s">
        <v>152</v>
      </c>
      <c r="F1090" s="2">
        <v>86037502102.164398</v>
      </c>
      <c r="G1090" s="2" t="str">
        <f>Table1_1[[#This Row],[Country Name]]&amp;"|"&amp;Table1_1[[#This Row],[Series Name]]&amp;"|"&amp;Table1_1[[#This Row],[Years]]</f>
        <v>Germany|Foreign direct investment, net inflows (BoP, current US$)|2010</v>
      </c>
    </row>
    <row r="1091" spans="1:7" x14ac:dyDescent="0.3">
      <c r="A1091" s="2" t="s">
        <v>149</v>
      </c>
      <c r="B1091" s="2" t="s">
        <v>111</v>
      </c>
      <c r="C1091" s="2" t="s">
        <v>13</v>
      </c>
      <c r="D1091" s="2" t="s">
        <v>123</v>
      </c>
      <c r="E1091" s="2" t="s">
        <v>153</v>
      </c>
      <c r="F1091" s="2">
        <v>97535403952.549301</v>
      </c>
      <c r="G1091" s="2" t="str">
        <f>Table1_1[[#This Row],[Country Name]]&amp;"|"&amp;Table1_1[[#This Row],[Series Name]]&amp;"|"&amp;Table1_1[[#This Row],[Years]]</f>
        <v>Germany|Foreign direct investment, net inflows (BoP, current US$)|2011</v>
      </c>
    </row>
    <row r="1092" spans="1:7" x14ac:dyDescent="0.3">
      <c r="A1092" s="2" t="s">
        <v>149</v>
      </c>
      <c r="B1092" s="2" t="s">
        <v>111</v>
      </c>
      <c r="C1092" s="2" t="s">
        <v>13</v>
      </c>
      <c r="D1092" s="2" t="s">
        <v>123</v>
      </c>
      <c r="E1092" s="2" t="s">
        <v>154</v>
      </c>
      <c r="F1092" s="2">
        <v>65443087632.2705</v>
      </c>
      <c r="G1092" s="2" t="str">
        <f>Table1_1[[#This Row],[Country Name]]&amp;"|"&amp;Table1_1[[#This Row],[Series Name]]&amp;"|"&amp;Table1_1[[#This Row],[Years]]</f>
        <v>Germany|Foreign direct investment, net inflows (BoP, current US$)|2012</v>
      </c>
    </row>
    <row r="1093" spans="1:7" x14ac:dyDescent="0.3">
      <c r="A1093" s="2" t="s">
        <v>149</v>
      </c>
      <c r="B1093" s="2" t="s">
        <v>111</v>
      </c>
      <c r="C1093" s="2" t="s">
        <v>13</v>
      </c>
      <c r="D1093" s="2" t="s">
        <v>123</v>
      </c>
      <c r="E1093" s="2" t="s">
        <v>155</v>
      </c>
      <c r="F1093" s="2">
        <v>67199694458.936798</v>
      </c>
      <c r="G1093" s="2" t="str">
        <f>Table1_1[[#This Row],[Country Name]]&amp;"|"&amp;Table1_1[[#This Row],[Series Name]]&amp;"|"&amp;Table1_1[[#This Row],[Years]]</f>
        <v>Germany|Foreign direct investment, net inflows (BoP, current US$)|2013</v>
      </c>
    </row>
    <row r="1094" spans="1:7" x14ac:dyDescent="0.3">
      <c r="A1094" s="2" t="s">
        <v>149</v>
      </c>
      <c r="B1094" s="2" t="s">
        <v>111</v>
      </c>
      <c r="C1094" s="2" t="s">
        <v>13</v>
      </c>
      <c r="D1094" s="2" t="s">
        <v>123</v>
      </c>
      <c r="E1094" s="2" t="s">
        <v>156</v>
      </c>
      <c r="F1094" s="2">
        <v>17356720097.615398</v>
      </c>
      <c r="G1094" s="2" t="str">
        <f>Table1_1[[#This Row],[Country Name]]&amp;"|"&amp;Table1_1[[#This Row],[Series Name]]&amp;"|"&amp;Table1_1[[#This Row],[Years]]</f>
        <v>Germany|Foreign direct investment, net inflows (BoP, current US$)|2014</v>
      </c>
    </row>
    <row r="1095" spans="1:7" x14ac:dyDescent="0.3">
      <c r="A1095" s="2" t="s">
        <v>149</v>
      </c>
      <c r="B1095" s="2" t="s">
        <v>111</v>
      </c>
      <c r="C1095" s="2" t="s">
        <v>13</v>
      </c>
      <c r="D1095" s="2" t="s">
        <v>123</v>
      </c>
      <c r="E1095" s="2" t="s">
        <v>157</v>
      </c>
      <c r="F1095" s="2">
        <v>62418993509.248901</v>
      </c>
      <c r="G1095" s="2" t="str">
        <f>Table1_1[[#This Row],[Country Name]]&amp;"|"&amp;Table1_1[[#This Row],[Series Name]]&amp;"|"&amp;Table1_1[[#This Row],[Years]]</f>
        <v>Germany|Foreign direct investment, net inflows (BoP, current US$)|2015</v>
      </c>
    </row>
    <row r="1096" spans="1:7" x14ac:dyDescent="0.3">
      <c r="A1096" s="2" t="s">
        <v>149</v>
      </c>
      <c r="B1096" s="2" t="s">
        <v>111</v>
      </c>
      <c r="C1096" s="2" t="s">
        <v>13</v>
      </c>
      <c r="D1096" s="2" t="s">
        <v>123</v>
      </c>
      <c r="E1096" s="2" t="s">
        <v>158</v>
      </c>
      <c r="F1096" s="2">
        <v>58132711370.780296</v>
      </c>
      <c r="G1096" s="2" t="str">
        <f>Table1_1[[#This Row],[Country Name]]&amp;"|"&amp;Table1_1[[#This Row],[Series Name]]&amp;"|"&amp;Table1_1[[#This Row],[Years]]</f>
        <v>Germany|Foreign direct investment, net inflows (BoP, current US$)|2016</v>
      </c>
    </row>
    <row r="1097" spans="1:7" x14ac:dyDescent="0.3">
      <c r="A1097" s="2" t="s">
        <v>149</v>
      </c>
      <c r="B1097" s="2" t="s">
        <v>111</v>
      </c>
      <c r="C1097" s="2" t="s">
        <v>13</v>
      </c>
      <c r="D1097" s="2" t="s">
        <v>123</v>
      </c>
      <c r="E1097" s="2" t="s">
        <v>159</v>
      </c>
      <c r="F1097" s="2">
        <v>108786501529.106</v>
      </c>
      <c r="G1097" s="2" t="str">
        <f>Table1_1[[#This Row],[Country Name]]&amp;"|"&amp;Table1_1[[#This Row],[Series Name]]&amp;"|"&amp;Table1_1[[#This Row],[Years]]</f>
        <v>Germany|Foreign direct investment, net inflows (BoP, current US$)|2017</v>
      </c>
    </row>
    <row r="1098" spans="1:7" x14ac:dyDescent="0.3">
      <c r="A1098" s="2" t="s">
        <v>149</v>
      </c>
      <c r="B1098" s="2" t="s">
        <v>111</v>
      </c>
      <c r="C1098" s="2" t="s">
        <v>13</v>
      </c>
      <c r="D1098" s="2" t="s">
        <v>123</v>
      </c>
      <c r="E1098" s="2" t="s">
        <v>160</v>
      </c>
      <c r="F1098" s="2">
        <v>162250938125.84201</v>
      </c>
      <c r="G1098" s="2" t="str">
        <f>Table1_1[[#This Row],[Country Name]]&amp;"|"&amp;Table1_1[[#This Row],[Series Name]]&amp;"|"&amp;Table1_1[[#This Row],[Years]]</f>
        <v>Germany|Foreign direct investment, net inflows (BoP, current US$)|2018</v>
      </c>
    </row>
    <row r="1099" spans="1:7" x14ac:dyDescent="0.3">
      <c r="A1099" s="2" t="s">
        <v>149</v>
      </c>
      <c r="B1099" s="2" t="s">
        <v>111</v>
      </c>
      <c r="C1099" s="2" t="s">
        <v>13</v>
      </c>
      <c r="D1099" s="2" t="s">
        <v>123</v>
      </c>
      <c r="E1099" s="2" t="s">
        <v>161</v>
      </c>
      <c r="F1099" s="2">
        <v>75463438450.891602</v>
      </c>
      <c r="G1099" s="2" t="str">
        <f>Table1_1[[#This Row],[Country Name]]&amp;"|"&amp;Table1_1[[#This Row],[Series Name]]&amp;"|"&amp;Table1_1[[#This Row],[Years]]</f>
        <v>Germany|Foreign direct investment, net inflows (BoP, current US$)|2019</v>
      </c>
    </row>
    <row r="1100" spans="1:7" x14ac:dyDescent="0.3">
      <c r="A1100" s="2" t="s">
        <v>149</v>
      </c>
      <c r="B1100" s="2" t="s">
        <v>111</v>
      </c>
      <c r="C1100" s="2" t="s">
        <v>13</v>
      </c>
      <c r="D1100" s="2" t="s">
        <v>123</v>
      </c>
      <c r="E1100" s="2" t="s">
        <v>162</v>
      </c>
      <c r="F1100" s="2">
        <v>176781024357.228</v>
      </c>
      <c r="G1100" s="2" t="str">
        <f>Table1_1[[#This Row],[Country Name]]&amp;"|"&amp;Table1_1[[#This Row],[Series Name]]&amp;"|"&amp;Table1_1[[#This Row],[Years]]</f>
        <v>Germany|Foreign direct investment, net inflows (BoP, current US$)|2020</v>
      </c>
    </row>
    <row r="1101" spans="1:7" x14ac:dyDescent="0.3">
      <c r="A1101" s="2" t="s">
        <v>149</v>
      </c>
      <c r="B1101" s="2" t="s">
        <v>111</v>
      </c>
      <c r="C1101" s="2" t="s">
        <v>13</v>
      </c>
      <c r="D1101" s="2" t="s">
        <v>123</v>
      </c>
      <c r="E1101" s="2" t="s">
        <v>163</v>
      </c>
      <c r="F1101" s="2">
        <v>127609826748.26801</v>
      </c>
      <c r="G1101" s="2" t="str">
        <f>Table1_1[[#This Row],[Country Name]]&amp;"|"&amp;Table1_1[[#This Row],[Series Name]]&amp;"|"&amp;Table1_1[[#This Row],[Years]]</f>
        <v>Germany|Foreign direct investment, net inflows (BoP, current US$)|2021</v>
      </c>
    </row>
    <row r="1102" spans="1:7" x14ac:dyDescent="0.3">
      <c r="A1102" s="2" t="s">
        <v>149</v>
      </c>
      <c r="B1102" s="2" t="s">
        <v>111</v>
      </c>
      <c r="C1102" s="2" t="s">
        <v>13</v>
      </c>
      <c r="D1102" s="2" t="s">
        <v>123</v>
      </c>
      <c r="E1102" s="2" t="s">
        <v>164</v>
      </c>
      <c r="F1102" s="2">
        <v>76571769735.781906</v>
      </c>
      <c r="G1102" s="2" t="str">
        <f>Table1_1[[#This Row],[Country Name]]&amp;"|"&amp;Table1_1[[#This Row],[Series Name]]&amp;"|"&amp;Table1_1[[#This Row],[Years]]</f>
        <v>Germany|Foreign direct investment, net inflows (BoP, current US$)|2022</v>
      </c>
    </row>
    <row r="1103" spans="1:7" x14ac:dyDescent="0.3">
      <c r="A1103" s="2" t="s">
        <v>149</v>
      </c>
      <c r="B1103" s="2" t="s">
        <v>111</v>
      </c>
      <c r="C1103" s="2" t="s">
        <v>13</v>
      </c>
      <c r="D1103" s="2" t="s">
        <v>123</v>
      </c>
      <c r="E1103" s="2" t="s">
        <v>165</v>
      </c>
      <c r="F1103" s="2">
        <v>90884107609.890198</v>
      </c>
      <c r="G1103" s="2" t="str">
        <f>Table1_1[[#This Row],[Country Name]]&amp;"|"&amp;Table1_1[[#This Row],[Series Name]]&amp;"|"&amp;Table1_1[[#This Row],[Years]]</f>
        <v>Germany|Foreign direct investment, net inflows (BoP, current US$)|2023</v>
      </c>
    </row>
    <row r="1104" spans="1:7" x14ac:dyDescent="0.3">
      <c r="A1104" s="2" t="s">
        <v>149</v>
      </c>
      <c r="B1104" s="2" t="s">
        <v>111</v>
      </c>
      <c r="C1104" s="2" t="s">
        <v>13</v>
      </c>
      <c r="D1104" s="2" t="s">
        <v>123</v>
      </c>
      <c r="E1104" s="2" t="s">
        <v>166</v>
      </c>
      <c r="F1104" s="2">
        <v>62637241923.072197</v>
      </c>
      <c r="G1104" s="2" t="str">
        <f>Table1_1[[#This Row],[Country Name]]&amp;"|"&amp;Table1_1[[#This Row],[Series Name]]&amp;"|"&amp;Table1_1[[#This Row],[Years]]</f>
        <v>Germany|Foreign direct investment, net inflows (BoP, current US$)|2024</v>
      </c>
    </row>
    <row r="1105" spans="1:7" x14ac:dyDescent="0.3">
      <c r="A1105" s="2" t="s">
        <v>149</v>
      </c>
      <c r="B1105" s="2" t="s">
        <v>111</v>
      </c>
      <c r="C1105" s="2" t="s">
        <v>13</v>
      </c>
      <c r="D1105" s="2" t="s">
        <v>123</v>
      </c>
      <c r="E1105" s="2" t="s">
        <v>167</v>
      </c>
      <c r="F1105" s="2">
        <v>95190853681.331299</v>
      </c>
      <c r="G1105" s="2" t="str">
        <f>Table1_1[[#This Row],[Country Name]]&amp;"|"&amp;Table1_1[[#This Row],[Series Name]]&amp;"|"&amp;Table1_1[[#This Row],[Years]]</f>
        <v>Germany|Foreign direct investment, net inflows (BoP, current US$)|2025</v>
      </c>
    </row>
    <row r="1106" spans="1:7" x14ac:dyDescent="0.3">
      <c r="A1106" s="2" t="s">
        <v>149</v>
      </c>
      <c r="B1106" s="2" t="s">
        <v>111</v>
      </c>
      <c r="C1106" s="2" t="s">
        <v>107</v>
      </c>
      <c r="D1106" s="2" t="s">
        <v>106</v>
      </c>
      <c r="E1106" s="2" t="s">
        <v>152</v>
      </c>
      <c r="F1106" s="2">
        <v>81776930</v>
      </c>
      <c r="G1106" s="2" t="str">
        <f>Table1_1[[#This Row],[Country Name]]&amp;"|"&amp;Table1_1[[#This Row],[Series Name]]&amp;"|"&amp;Table1_1[[#This Row],[Years]]</f>
        <v>Germany|Population, total|2010</v>
      </c>
    </row>
    <row r="1107" spans="1:7" x14ac:dyDescent="0.3">
      <c r="A1107" s="2" t="s">
        <v>149</v>
      </c>
      <c r="B1107" s="2" t="s">
        <v>111</v>
      </c>
      <c r="C1107" s="2" t="s">
        <v>107</v>
      </c>
      <c r="D1107" s="2" t="s">
        <v>106</v>
      </c>
      <c r="E1107" s="2" t="s">
        <v>153</v>
      </c>
      <c r="F1107" s="2">
        <v>80274983</v>
      </c>
      <c r="G1107" s="2" t="str">
        <f>Table1_1[[#This Row],[Country Name]]&amp;"|"&amp;Table1_1[[#This Row],[Series Name]]&amp;"|"&amp;Table1_1[[#This Row],[Years]]</f>
        <v>Germany|Population, total|2011</v>
      </c>
    </row>
    <row r="1108" spans="1:7" x14ac:dyDescent="0.3">
      <c r="A1108" s="2" t="s">
        <v>149</v>
      </c>
      <c r="B1108" s="2" t="s">
        <v>111</v>
      </c>
      <c r="C1108" s="2" t="s">
        <v>107</v>
      </c>
      <c r="D1108" s="2" t="s">
        <v>106</v>
      </c>
      <c r="E1108" s="2" t="s">
        <v>154</v>
      </c>
      <c r="F1108" s="2">
        <v>80425823</v>
      </c>
      <c r="G1108" s="2" t="str">
        <f>Table1_1[[#This Row],[Country Name]]&amp;"|"&amp;Table1_1[[#This Row],[Series Name]]&amp;"|"&amp;Table1_1[[#This Row],[Years]]</f>
        <v>Germany|Population, total|2012</v>
      </c>
    </row>
    <row r="1109" spans="1:7" x14ac:dyDescent="0.3">
      <c r="A1109" s="2" t="s">
        <v>149</v>
      </c>
      <c r="B1109" s="2" t="s">
        <v>111</v>
      </c>
      <c r="C1109" s="2" t="s">
        <v>107</v>
      </c>
      <c r="D1109" s="2" t="s">
        <v>106</v>
      </c>
      <c r="E1109" s="2" t="s">
        <v>155</v>
      </c>
      <c r="F1109" s="2">
        <v>80645605</v>
      </c>
      <c r="G1109" s="2" t="str">
        <f>Table1_1[[#This Row],[Country Name]]&amp;"|"&amp;Table1_1[[#This Row],[Series Name]]&amp;"|"&amp;Table1_1[[#This Row],[Years]]</f>
        <v>Germany|Population, total|2013</v>
      </c>
    </row>
    <row r="1110" spans="1:7" x14ac:dyDescent="0.3">
      <c r="A1110" s="2" t="s">
        <v>149</v>
      </c>
      <c r="B1110" s="2" t="s">
        <v>111</v>
      </c>
      <c r="C1110" s="2" t="s">
        <v>107</v>
      </c>
      <c r="D1110" s="2" t="s">
        <v>106</v>
      </c>
      <c r="E1110" s="2" t="s">
        <v>156</v>
      </c>
      <c r="F1110" s="2">
        <v>80982500</v>
      </c>
      <c r="G1110" s="2" t="str">
        <f>Table1_1[[#This Row],[Country Name]]&amp;"|"&amp;Table1_1[[#This Row],[Series Name]]&amp;"|"&amp;Table1_1[[#This Row],[Years]]</f>
        <v>Germany|Population, total|2014</v>
      </c>
    </row>
    <row r="1111" spans="1:7" x14ac:dyDescent="0.3">
      <c r="A1111" s="2" t="s">
        <v>149</v>
      </c>
      <c r="B1111" s="2" t="s">
        <v>111</v>
      </c>
      <c r="C1111" s="2" t="s">
        <v>107</v>
      </c>
      <c r="D1111" s="2" t="s">
        <v>106</v>
      </c>
      <c r="E1111" s="2" t="s">
        <v>157</v>
      </c>
      <c r="F1111" s="2">
        <v>81686611</v>
      </c>
      <c r="G1111" s="2" t="str">
        <f>Table1_1[[#This Row],[Country Name]]&amp;"|"&amp;Table1_1[[#This Row],[Series Name]]&amp;"|"&amp;Table1_1[[#This Row],[Years]]</f>
        <v>Germany|Population, total|2015</v>
      </c>
    </row>
    <row r="1112" spans="1:7" x14ac:dyDescent="0.3">
      <c r="A1112" s="2" t="s">
        <v>149</v>
      </c>
      <c r="B1112" s="2" t="s">
        <v>111</v>
      </c>
      <c r="C1112" s="2" t="s">
        <v>107</v>
      </c>
      <c r="D1112" s="2" t="s">
        <v>106</v>
      </c>
      <c r="E1112" s="2" t="s">
        <v>158</v>
      </c>
      <c r="F1112" s="2">
        <v>82348669</v>
      </c>
      <c r="G1112" s="2" t="str">
        <f>Table1_1[[#This Row],[Country Name]]&amp;"|"&amp;Table1_1[[#This Row],[Series Name]]&amp;"|"&amp;Table1_1[[#This Row],[Years]]</f>
        <v>Germany|Population, total|2016</v>
      </c>
    </row>
    <row r="1113" spans="1:7" x14ac:dyDescent="0.3">
      <c r="A1113" s="2" t="s">
        <v>149</v>
      </c>
      <c r="B1113" s="2" t="s">
        <v>111</v>
      </c>
      <c r="C1113" s="2" t="s">
        <v>107</v>
      </c>
      <c r="D1113" s="2" t="s">
        <v>106</v>
      </c>
      <c r="E1113" s="2" t="s">
        <v>159</v>
      </c>
      <c r="F1113" s="2">
        <v>82657002</v>
      </c>
      <c r="G1113" s="2" t="str">
        <f>Table1_1[[#This Row],[Country Name]]&amp;"|"&amp;Table1_1[[#This Row],[Series Name]]&amp;"|"&amp;Table1_1[[#This Row],[Years]]</f>
        <v>Germany|Population, total|2017</v>
      </c>
    </row>
    <row r="1114" spans="1:7" x14ac:dyDescent="0.3">
      <c r="A1114" s="2" t="s">
        <v>149</v>
      </c>
      <c r="B1114" s="2" t="s">
        <v>111</v>
      </c>
      <c r="C1114" s="2" t="s">
        <v>107</v>
      </c>
      <c r="D1114" s="2" t="s">
        <v>106</v>
      </c>
      <c r="E1114" s="2" t="s">
        <v>160</v>
      </c>
      <c r="F1114" s="2">
        <v>82905782</v>
      </c>
      <c r="G1114" s="2" t="str">
        <f>Table1_1[[#This Row],[Country Name]]&amp;"|"&amp;Table1_1[[#This Row],[Series Name]]&amp;"|"&amp;Table1_1[[#This Row],[Years]]</f>
        <v>Germany|Population, total|2018</v>
      </c>
    </row>
    <row r="1115" spans="1:7" x14ac:dyDescent="0.3">
      <c r="A1115" s="2" t="s">
        <v>149</v>
      </c>
      <c r="B1115" s="2" t="s">
        <v>111</v>
      </c>
      <c r="C1115" s="2" t="s">
        <v>107</v>
      </c>
      <c r="D1115" s="2" t="s">
        <v>106</v>
      </c>
      <c r="E1115" s="2" t="s">
        <v>161</v>
      </c>
      <c r="F1115" s="2">
        <v>83092962</v>
      </c>
      <c r="G1115" s="2" t="str">
        <f>Table1_1[[#This Row],[Country Name]]&amp;"|"&amp;Table1_1[[#This Row],[Series Name]]&amp;"|"&amp;Table1_1[[#This Row],[Years]]</f>
        <v>Germany|Population, total|2019</v>
      </c>
    </row>
    <row r="1116" spans="1:7" x14ac:dyDescent="0.3">
      <c r="A1116" s="2" t="s">
        <v>149</v>
      </c>
      <c r="B1116" s="2" t="s">
        <v>111</v>
      </c>
      <c r="C1116" s="2" t="s">
        <v>107</v>
      </c>
      <c r="D1116" s="2" t="s">
        <v>106</v>
      </c>
      <c r="E1116" s="2" t="s">
        <v>162</v>
      </c>
      <c r="F1116" s="2">
        <v>83160871</v>
      </c>
      <c r="G1116" s="2" t="str">
        <f>Table1_1[[#This Row],[Country Name]]&amp;"|"&amp;Table1_1[[#This Row],[Series Name]]&amp;"|"&amp;Table1_1[[#This Row],[Years]]</f>
        <v>Germany|Population, total|2020</v>
      </c>
    </row>
    <row r="1117" spans="1:7" x14ac:dyDescent="0.3">
      <c r="A1117" s="2" t="s">
        <v>149</v>
      </c>
      <c r="B1117" s="2" t="s">
        <v>111</v>
      </c>
      <c r="C1117" s="2" t="s">
        <v>107</v>
      </c>
      <c r="D1117" s="2" t="s">
        <v>106</v>
      </c>
      <c r="E1117" s="2" t="s">
        <v>163</v>
      </c>
      <c r="F1117" s="2">
        <v>83196078</v>
      </c>
      <c r="G1117" s="2" t="str">
        <f>Table1_1[[#This Row],[Country Name]]&amp;"|"&amp;Table1_1[[#This Row],[Series Name]]&amp;"|"&amp;Table1_1[[#This Row],[Years]]</f>
        <v>Germany|Population, total|2021</v>
      </c>
    </row>
    <row r="1118" spans="1:7" x14ac:dyDescent="0.3">
      <c r="A1118" s="2" t="s">
        <v>149</v>
      </c>
      <c r="B1118" s="2" t="s">
        <v>111</v>
      </c>
      <c r="C1118" s="2" t="s">
        <v>107</v>
      </c>
      <c r="D1118" s="2" t="s">
        <v>106</v>
      </c>
      <c r="E1118" s="2" t="s">
        <v>164</v>
      </c>
      <c r="F1118" s="2">
        <v>83177813</v>
      </c>
      <c r="G1118" s="2" t="str">
        <f>Table1_1[[#This Row],[Country Name]]&amp;"|"&amp;Table1_1[[#This Row],[Series Name]]&amp;"|"&amp;Table1_1[[#This Row],[Years]]</f>
        <v>Germany|Population, total|2022</v>
      </c>
    </row>
    <row r="1119" spans="1:7" x14ac:dyDescent="0.3">
      <c r="A1119" s="2" t="s">
        <v>149</v>
      </c>
      <c r="B1119" s="2" t="s">
        <v>111</v>
      </c>
      <c r="C1119" s="2" t="s">
        <v>107</v>
      </c>
      <c r="D1119" s="2" t="s">
        <v>106</v>
      </c>
      <c r="E1119" s="2" t="s">
        <v>165</v>
      </c>
      <c r="F1119" s="2">
        <v>83287273</v>
      </c>
      <c r="G1119" s="2" t="str">
        <f>Table1_1[[#This Row],[Country Name]]&amp;"|"&amp;Table1_1[[#This Row],[Series Name]]&amp;"|"&amp;Table1_1[[#This Row],[Years]]</f>
        <v>Germany|Population, total|2023</v>
      </c>
    </row>
    <row r="1120" spans="1:7" x14ac:dyDescent="0.3">
      <c r="A1120" s="2" t="s">
        <v>149</v>
      </c>
      <c r="B1120" s="2" t="s">
        <v>111</v>
      </c>
      <c r="C1120" s="2" t="s">
        <v>107</v>
      </c>
      <c r="D1120" s="2" t="s">
        <v>106</v>
      </c>
      <c r="E1120" s="2" t="s">
        <v>166</v>
      </c>
      <c r="F1120" s="2">
        <v>83516593</v>
      </c>
      <c r="G1120" s="2" t="str">
        <f>Table1_1[[#This Row],[Country Name]]&amp;"|"&amp;Table1_1[[#This Row],[Series Name]]&amp;"|"&amp;Table1_1[[#This Row],[Years]]</f>
        <v>Germany|Population, total|2024</v>
      </c>
    </row>
    <row r="1121" spans="1:7" x14ac:dyDescent="0.3">
      <c r="A1121" s="2" t="s">
        <v>149</v>
      </c>
      <c r="B1121" s="2" t="s">
        <v>111</v>
      </c>
      <c r="C1121" s="2" t="s">
        <v>107</v>
      </c>
      <c r="D1121" s="2" t="s">
        <v>106</v>
      </c>
      <c r="E1121" s="2" t="s">
        <v>167</v>
      </c>
      <c r="F1121" s="2">
        <v>83491249</v>
      </c>
      <c r="G1121" s="2" t="str">
        <f>Table1_1[[#This Row],[Country Name]]&amp;"|"&amp;Table1_1[[#This Row],[Series Name]]&amp;"|"&amp;Table1_1[[#This Row],[Years]]</f>
        <v>Germany|Population, total|2025</v>
      </c>
    </row>
    <row r="1122" spans="1:7" x14ac:dyDescent="0.3">
      <c r="A1122" s="2" t="s">
        <v>21</v>
      </c>
      <c r="B1122" s="2" t="s">
        <v>75</v>
      </c>
      <c r="C1122" s="2" t="s">
        <v>25</v>
      </c>
      <c r="D1122" s="2" t="s">
        <v>89</v>
      </c>
      <c r="E1122" s="2" t="s">
        <v>152</v>
      </c>
      <c r="F1122" s="2">
        <v>2496740681057.1392</v>
      </c>
      <c r="G1122" s="2" t="str">
        <f>Table1_1[[#This Row],[Country Name]]&amp;"|"&amp;Table1_1[[#This Row],[Series Name]]&amp;"|"&amp;Table1_1[[#This Row],[Years]]</f>
        <v>United Kingdom|GDP (current US$)|2010</v>
      </c>
    </row>
    <row r="1123" spans="1:7" x14ac:dyDescent="0.3">
      <c r="A1123" s="2" t="s">
        <v>21</v>
      </c>
      <c r="B1123" s="2" t="s">
        <v>75</v>
      </c>
      <c r="C1123" s="2" t="s">
        <v>25</v>
      </c>
      <c r="D1123" s="2" t="s">
        <v>89</v>
      </c>
      <c r="E1123" s="2" t="s">
        <v>153</v>
      </c>
      <c r="F1123" s="2">
        <v>2675590034128.6582</v>
      </c>
      <c r="G1123" s="2" t="str">
        <f>Table1_1[[#This Row],[Country Name]]&amp;"|"&amp;Table1_1[[#This Row],[Series Name]]&amp;"|"&amp;Table1_1[[#This Row],[Years]]</f>
        <v>United Kingdom|GDP (current US$)|2011</v>
      </c>
    </row>
    <row r="1124" spans="1:7" x14ac:dyDescent="0.3">
      <c r="A1124" s="2" t="s">
        <v>21</v>
      </c>
      <c r="B1124" s="2" t="s">
        <v>75</v>
      </c>
      <c r="C1124" s="2" t="s">
        <v>25</v>
      </c>
      <c r="D1124" s="2" t="s">
        <v>89</v>
      </c>
      <c r="E1124" s="2" t="s">
        <v>154</v>
      </c>
      <c r="F1124" s="2">
        <v>2719715961539.8311</v>
      </c>
      <c r="G1124" s="2" t="str">
        <f>Table1_1[[#This Row],[Country Name]]&amp;"|"&amp;Table1_1[[#This Row],[Series Name]]&amp;"|"&amp;Table1_1[[#This Row],[Years]]</f>
        <v>United Kingdom|GDP (current US$)|2012</v>
      </c>
    </row>
    <row r="1125" spans="1:7" x14ac:dyDescent="0.3">
      <c r="A1125" s="2" t="s">
        <v>21</v>
      </c>
      <c r="B1125" s="2" t="s">
        <v>75</v>
      </c>
      <c r="C1125" s="2" t="s">
        <v>25</v>
      </c>
      <c r="D1125" s="2" t="s">
        <v>89</v>
      </c>
      <c r="E1125" s="2" t="s">
        <v>155</v>
      </c>
      <c r="F1125" s="2">
        <v>2796908333283.3892</v>
      </c>
      <c r="G1125" s="2" t="str">
        <f>Table1_1[[#This Row],[Country Name]]&amp;"|"&amp;Table1_1[[#This Row],[Series Name]]&amp;"|"&amp;Table1_1[[#This Row],[Years]]</f>
        <v>United Kingdom|GDP (current US$)|2013</v>
      </c>
    </row>
    <row r="1126" spans="1:7" x14ac:dyDescent="0.3">
      <c r="A1126" s="2" t="s">
        <v>21</v>
      </c>
      <c r="B1126" s="2" t="s">
        <v>75</v>
      </c>
      <c r="C1126" s="2" t="s">
        <v>25</v>
      </c>
      <c r="D1126" s="2" t="s">
        <v>89</v>
      </c>
      <c r="E1126" s="2" t="s">
        <v>156</v>
      </c>
      <c r="F1126" s="2">
        <v>3085362169410.2915</v>
      </c>
      <c r="G1126" s="2" t="str">
        <f>Table1_1[[#This Row],[Country Name]]&amp;"|"&amp;Table1_1[[#This Row],[Series Name]]&amp;"|"&amp;Table1_1[[#This Row],[Years]]</f>
        <v>United Kingdom|GDP (current US$)|2014</v>
      </c>
    </row>
    <row r="1127" spans="1:7" x14ac:dyDescent="0.3">
      <c r="A1127" s="2" t="s">
        <v>21</v>
      </c>
      <c r="B1127" s="2" t="s">
        <v>75</v>
      </c>
      <c r="C1127" s="2" t="s">
        <v>25</v>
      </c>
      <c r="D1127" s="2" t="s">
        <v>89</v>
      </c>
      <c r="E1127" s="2" t="s">
        <v>157</v>
      </c>
      <c r="F1127" s="2">
        <v>2945579890258.4585</v>
      </c>
      <c r="G1127" s="2" t="str">
        <f>Table1_1[[#This Row],[Country Name]]&amp;"|"&amp;Table1_1[[#This Row],[Series Name]]&amp;"|"&amp;Table1_1[[#This Row],[Years]]</f>
        <v>United Kingdom|GDP (current US$)|2015</v>
      </c>
    </row>
    <row r="1128" spans="1:7" x14ac:dyDescent="0.3">
      <c r="A1128" s="2" t="s">
        <v>21</v>
      </c>
      <c r="B1128" s="2" t="s">
        <v>75</v>
      </c>
      <c r="C1128" s="2" t="s">
        <v>25</v>
      </c>
      <c r="D1128" s="2" t="s">
        <v>89</v>
      </c>
      <c r="E1128" s="2" t="s">
        <v>158</v>
      </c>
      <c r="F1128" s="2">
        <v>2706807606538.7305</v>
      </c>
      <c r="G1128" s="2" t="str">
        <f>Table1_1[[#This Row],[Country Name]]&amp;"|"&amp;Table1_1[[#This Row],[Series Name]]&amp;"|"&amp;Table1_1[[#This Row],[Years]]</f>
        <v>United Kingdom|GDP (current US$)|2016</v>
      </c>
    </row>
    <row r="1129" spans="1:7" x14ac:dyDescent="0.3">
      <c r="A1129" s="2" t="s">
        <v>21</v>
      </c>
      <c r="B1129" s="2" t="s">
        <v>75</v>
      </c>
      <c r="C1129" s="2" t="s">
        <v>25</v>
      </c>
      <c r="D1129" s="2" t="s">
        <v>89</v>
      </c>
      <c r="E1129" s="2" t="s">
        <v>159</v>
      </c>
      <c r="F1129" s="2">
        <v>2699118387873.0957</v>
      </c>
      <c r="G1129" s="2" t="str">
        <f>Table1_1[[#This Row],[Country Name]]&amp;"|"&amp;Table1_1[[#This Row],[Series Name]]&amp;"|"&amp;Table1_1[[#This Row],[Years]]</f>
        <v>United Kingdom|GDP (current US$)|2017</v>
      </c>
    </row>
    <row r="1130" spans="1:7" x14ac:dyDescent="0.3">
      <c r="A1130" s="2" t="s">
        <v>21</v>
      </c>
      <c r="B1130" s="2" t="s">
        <v>75</v>
      </c>
      <c r="C1130" s="2" t="s">
        <v>25</v>
      </c>
      <c r="D1130" s="2" t="s">
        <v>89</v>
      </c>
      <c r="E1130" s="2" t="s">
        <v>160</v>
      </c>
      <c r="F1130" s="2">
        <v>2897028009916.0503</v>
      </c>
      <c r="G1130" s="2" t="str">
        <f>Table1_1[[#This Row],[Country Name]]&amp;"|"&amp;Table1_1[[#This Row],[Series Name]]&amp;"|"&amp;Table1_1[[#This Row],[Years]]</f>
        <v>United Kingdom|GDP (current US$)|2018</v>
      </c>
    </row>
    <row r="1131" spans="1:7" x14ac:dyDescent="0.3">
      <c r="A1131" s="2" t="s">
        <v>21</v>
      </c>
      <c r="B1131" s="2" t="s">
        <v>75</v>
      </c>
      <c r="C1131" s="2" t="s">
        <v>25</v>
      </c>
      <c r="D1131" s="2" t="s">
        <v>89</v>
      </c>
      <c r="E1131" s="2" t="s">
        <v>161</v>
      </c>
      <c r="F1131" s="2">
        <v>2875710080015.3003</v>
      </c>
      <c r="G1131" s="2" t="str">
        <f>Table1_1[[#This Row],[Country Name]]&amp;"|"&amp;Table1_1[[#This Row],[Series Name]]&amp;"|"&amp;Table1_1[[#This Row],[Years]]</f>
        <v>United Kingdom|GDP (current US$)|2019</v>
      </c>
    </row>
    <row r="1132" spans="1:7" x14ac:dyDescent="0.3">
      <c r="A1132" s="2" t="s">
        <v>21</v>
      </c>
      <c r="B1132" s="2" t="s">
        <v>75</v>
      </c>
      <c r="C1132" s="2" t="s">
        <v>25</v>
      </c>
      <c r="D1132" s="2" t="s">
        <v>89</v>
      </c>
      <c r="E1132" s="2" t="s">
        <v>162</v>
      </c>
      <c r="F1132" s="2">
        <v>2724001478304.5908</v>
      </c>
      <c r="G1132" s="2" t="str">
        <f>Table1_1[[#This Row],[Country Name]]&amp;"|"&amp;Table1_1[[#This Row],[Series Name]]&amp;"|"&amp;Table1_1[[#This Row],[Years]]</f>
        <v>United Kingdom|GDP (current US$)|2020</v>
      </c>
    </row>
    <row r="1133" spans="1:7" x14ac:dyDescent="0.3">
      <c r="A1133" s="2" t="s">
        <v>21</v>
      </c>
      <c r="B1133" s="2" t="s">
        <v>75</v>
      </c>
      <c r="C1133" s="2" t="s">
        <v>25</v>
      </c>
      <c r="D1133" s="2" t="s">
        <v>89</v>
      </c>
      <c r="E1133" s="2" t="s">
        <v>163</v>
      </c>
      <c r="F1133" s="2">
        <v>3194559188925.9272</v>
      </c>
      <c r="G1133" s="2" t="str">
        <f>Table1_1[[#This Row],[Country Name]]&amp;"|"&amp;Table1_1[[#This Row],[Series Name]]&amp;"|"&amp;Table1_1[[#This Row],[Years]]</f>
        <v>United Kingdom|GDP (current US$)|2021</v>
      </c>
    </row>
    <row r="1134" spans="1:7" x14ac:dyDescent="0.3">
      <c r="A1134" s="2" t="s">
        <v>21</v>
      </c>
      <c r="B1134" s="2" t="s">
        <v>75</v>
      </c>
      <c r="C1134" s="2" t="s">
        <v>25</v>
      </c>
      <c r="D1134" s="2" t="s">
        <v>89</v>
      </c>
      <c r="E1134" s="2" t="s">
        <v>164</v>
      </c>
      <c r="F1134" s="2">
        <v>3181244350465.4146</v>
      </c>
      <c r="G1134" s="2" t="str">
        <f>Table1_1[[#This Row],[Country Name]]&amp;"|"&amp;Table1_1[[#This Row],[Series Name]]&amp;"|"&amp;Table1_1[[#This Row],[Years]]</f>
        <v>United Kingdom|GDP (current US$)|2022</v>
      </c>
    </row>
    <row r="1135" spans="1:7" x14ac:dyDescent="0.3">
      <c r="A1135" s="2" t="s">
        <v>21</v>
      </c>
      <c r="B1135" s="2" t="s">
        <v>75</v>
      </c>
      <c r="C1135" s="2" t="s">
        <v>25</v>
      </c>
      <c r="D1135" s="2" t="s">
        <v>89</v>
      </c>
      <c r="E1135" s="2" t="s">
        <v>165</v>
      </c>
      <c r="F1135" s="2">
        <v>3420796653789.0806</v>
      </c>
      <c r="G1135" s="2" t="str">
        <f>Table1_1[[#This Row],[Country Name]]&amp;"|"&amp;Table1_1[[#This Row],[Series Name]]&amp;"|"&amp;Table1_1[[#This Row],[Years]]</f>
        <v>United Kingdom|GDP (current US$)|2023</v>
      </c>
    </row>
    <row r="1136" spans="1:7" x14ac:dyDescent="0.3">
      <c r="A1136" s="2" t="s">
        <v>21</v>
      </c>
      <c r="B1136" s="2" t="s">
        <v>75</v>
      </c>
      <c r="C1136" s="2" t="s">
        <v>25</v>
      </c>
      <c r="D1136" s="2" t="s">
        <v>89</v>
      </c>
      <c r="E1136" s="2" t="s">
        <v>166</v>
      </c>
      <c r="F1136" s="2">
        <v>3695539513534.1543</v>
      </c>
      <c r="G1136" s="2" t="str">
        <f>Table1_1[[#This Row],[Country Name]]&amp;"|"&amp;Table1_1[[#This Row],[Series Name]]&amp;"|"&amp;Table1_1[[#This Row],[Years]]</f>
        <v>United Kingdom|GDP (current US$)|2024</v>
      </c>
    </row>
    <row r="1137" spans="1:7" x14ac:dyDescent="0.3">
      <c r="A1137" s="2" t="s">
        <v>21</v>
      </c>
      <c r="B1137" s="2" t="s">
        <v>75</v>
      </c>
      <c r="C1137" s="2" t="s">
        <v>25</v>
      </c>
      <c r="D1137" s="2" t="s">
        <v>89</v>
      </c>
      <c r="E1137" s="2" t="s">
        <v>167</v>
      </c>
      <c r="F1137" s="2">
        <v>4002587541846.0146</v>
      </c>
      <c r="G1137" s="2" t="str">
        <f>Table1_1[[#This Row],[Country Name]]&amp;"|"&amp;Table1_1[[#This Row],[Series Name]]&amp;"|"&amp;Table1_1[[#This Row],[Years]]</f>
        <v>United Kingdom|GDP (current US$)|2025</v>
      </c>
    </row>
    <row r="1138" spans="1:7" x14ac:dyDescent="0.3">
      <c r="A1138" s="2" t="s">
        <v>21</v>
      </c>
      <c r="B1138" s="2" t="s">
        <v>75</v>
      </c>
      <c r="C1138" s="2" t="s">
        <v>67</v>
      </c>
      <c r="D1138" s="2" t="s">
        <v>24</v>
      </c>
      <c r="E1138" s="2" t="s">
        <v>152</v>
      </c>
      <c r="F1138" s="2">
        <v>2.2605446093158577</v>
      </c>
      <c r="G1138" s="2" t="str">
        <f>Table1_1[[#This Row],[Country Name]]&amp;"|"&amp;Table1_1[[#This Row],[Series Name]]&amp;"|"&amp;Table1_1[[#This Row],[Years]]</f>
        <v>United Kingdom|GDP growth (annual %)|2010</v>
      </c>
    </row>
    <row r="1139" spans="1:7" x14ac:dyDescent="0.3">
      <c r="A1139" s="2" t="s">
        <v>21</v>
      </c>
      <c r="B1139" s="2" t="s">
        <v>75</v>
      </c>
      <c r="C1139" s="2" t="s">
        <v>67</v>
      </c>
      <c r="D1139" s="2" t="s">
        <v>24</v>
      </c>
      <c r="E1139" s="2" t="s">
        <v>153</v>
      </c>
      <c r="F1139" s="2">
        <v>0.85143773902032649</v>
      </c>
      <c r="G1139" s="2" t="str">
        <f>Table1_1[[#This Row],[Country Name]]&amp;"|"&amp;Table1_1[[#This Row],[Series Name]]&amp;"|"&amp;Table1_1[[#This Row],[Years]]</f>
        <v>United Kingdom|GDP growth (annual %)|2011</v>
      </c>
    </row>
    <row r="1140" spans="1:7" x14ac:dyDescent="0.3">
      <c r="A1140" s="2" t="s">
        <v>21</v>
      </c>
      <c r="B1140" s="2" t="s">
        <v>75</v>
      </c>
      <c r="C1140" s="2" t="s">
        <v>67</v>
      </c>
      <c r="D1140" s="2" t="s">
        <v>24</v>
      </c>
      <c r="E1140" s="2" t="s">
        <v>154</v>
      </c>
      <c r="F1140" s="2">
        <v>1.5282603472185201</v>
      </c>
      <c r="G1140" s="2" t="str">
        <f>Table1_1[[#This Row],[Country Name]]&amp;"|"&amp;Table1_1[[#This Row],[Series Name]]&amp;"|"&amp;Table1_1[[#This Row],[Years]]</f>
        <v>United Kingdom|GDP growth (annual %)|2012</v>
      </c>
    </row>
    <row r="1141" spans="1:7" x14ac:dyDescent="0.3">
      <c r="A1141" s="2" t="s">
        <v>21</v>
      </c>
      <c r="B1141" s="2" t="s">
        <v>75</v>
      </c>
      <c r="C1141" s="2" t="s">
        <v>67</v>
      </c>
      <c r="D1141" s="2" t="s">
        <v>24</v>
      </c>
      <c r="E1141" s="2" t="s">
        <v>155</v>
      </c>
      <c r="F1141" s="2">
        <v>1.7184696130846362</v>
      </c>
      <c r="G1141" s="2" t="str">
        <f>Table1_1[[#This Row],[Country Name]]&amp;"|"&amp;Table1_1[[#This Row],[Series Name]]&amp;"|"&amp;Table1_1[[#This Row],[Years]]</f>
        <v>United Kingdom|GDP growth (annual %)|2013</v>
      </c>
    </row>
    <row r="1142" spans="1:7" x14ac:dyDescent="0.3">
      <c r="A1142" s="2" t="s">
        <v>21</v>
      </c>
      <c r="B1142" s="2" t="s">
        <v>75</v>
      </c>
      <c r="C1142" s="2" t="s">
        <v>67</v>
      </c>
      <c r="D1142" s="2" t="s">
        <v>24</v>
      </c>
      <c r="E1142" s="2" t="s">
        <v>156</v>
      </c>
      <c r="F1142" s="2">
        <v>3.1601735146815173</v>
      </c>
      <c r="G1142" s="2" t="str">
        <f>Table1_1[[#This Row],[Country Name]]&amp;"|"&amp;Table1_1[[#This Row],[Series Name]]&amp;"|"&amp;Table1_1[[#This Row],[Years]]</f>
        <v>United Kingdom|GDP growth (annual %)|2014</v>
      </c>
    </row>
    <row r="1143" spans="1:7" x14ac:dyDescent="0.3">
      <c r="A1143" s="2" t="s">
        <v>21</v>
      </c>
      <c r="B1143" s="2" t="s">
        <v>75</v>
      </c>
      <c r="C1143" s="2" t="s">
        <v>67</v>
      </c>
      <c r="D1143" s="2" t="s">
        <v>24</v>
      </c>
      <c r="E1143" s="2" t="s">
        <v>157</v>
      </c>
      <c r="F1143" s="2">
        <v>2.1404056003337075</v>
      </c>
      <c r="G1143" s="2" t="str">
        <f>Table1_1[[#This Row],[Country Name]]&amp;"|"&amp;Table1_1[[#This Row],[Series Name]]&amp;"|"&amp;Table1_1[[#This Row],[Years]]</f>
        <v>United Kingdom|GDP growth (annual %)|2015</v>
      </c>
    </row>
    <row r="1144" spans="1:7" x14ac:dyDescent="0.3">
      <c r="A1144" s="2" t="s">
        <v>21</v>
      </c>
      <c r="B1144" s="2" t="s">
        <v>75</v>
      </c>
      <c r="C1144" s="2" t="s">
        <v>67</v>
      </c>
      <c r="D1144" s="2" t="s">
        <v>24</v>
      </c>
      <c r="E1144" s="2" t="s">
        <v>158</v>
      </c>
      <c r="F1144" s="2">
        <v>2.2065202063535736</v>
      </c>
      <c r="G1144" s="2" t="str">
        <f>Table1_1[[#This Row],[Country Name]]&amp;"|"&amp;Table1_1[[#This Row],[Series Name]]&amp;"|"&amp;Table1_1[[#This Row],[Years]]</f>
        <v>United Kingdom|GDP growth (annual %)|2016</v>
      </c>
    </row>
    <row r="1145" spans="1:7" x14ac:dyDescent="0.3">
      <c r="A1145" s="2" t="s">
        <v>21</v>
      </c>
      <c r="B1145" s="2" t="s">
        <v>75</v>
      </c>
      <c r="C1145" s="2" t="s">
        <v>67</v>
      </c>
      <c r="D1145" s="2" t="s">
        <v>24</v>
      </c>
      <c r="E1145" s="2" t="s">
        <v>159</v>
      </c>
      <c r="F1145" s="2">
        <v>3.0232221984033885</v>
      </c>
      <c r="G1145" s="2" t="str">
        <f>Table1_1[[#This Row],[Country Name]]&amp;"|"&amp;Table1_1[[#This Row],[Series Name]]&amp;"|"&amp;Table1_1[[#This Row],[Years]]</f>
        <v>United Kingdom|GDP growth (annual %)|2017</v>
      </c>
    </row>
    <row r="1146" spans="1:7" x14ac:dyDescent="0.3">
      <c r="A1146" s="2" t="s">
        <v>21</v>
      </c>
      <c r="B1146" s="2" t="s">
        <v>75</v>
      </c>
      <c r="C1146" s="2" t="s">
        <v>67</v>
      </c>
      <c r="D1146" s="2" t="s">
        <v>24</v>
      </c>
      <c r="E1146" s="2" t="s">
        <v>160</v>
      </c>
      <c r="F1146" s="2">
        <v>1.5513309507878574</v>
      </c>
      <c r="G1146" s="2" t="str">
        <f>Table1_1[[#This Row],[Country Name]]&amp;"|"&amp;Table1_1[[#This Row],[Series Name]]&amp;"|"&amp;Table1_1[[#This Row],[Years]]</f>
        <v>United Kingdom|GDP growth (annual %)|2018</v>
      </c>
    </row>
    <row r="1147" spans="1:7" x14ac:dyDescent="0.3">
      <c r="A1147" s="2" t="s">
        <v>21</v>
      </c>
      <c r="B1147" s="2" t="s">
        <v>75</v>
      </c>
      <c r="C1147" s="2" t="s">
        <v>67</v>
      </c>
      <c r="D1147" s="2" t="s">
        <v>24</v>
      </c>
      <c r="E1147" s="2" t="s">
        <v>161</v>
      </c>
      <c r="F1147" s="2">
        <v>1.2562989976082406</v>
      </c>
      <c r="G1147" s="2" t="str">
        <f>Table1_1[[#This Row],[Country Name]]&amp;"|"&amp;Table1_1[[#This Row],[Series Name]]&amp;"|"&amp;Table1_1[[#This Row],[Years]]</f>
        <v>United Kingdom|GDP growth (annual %)|2019</v>
      </c>
    </row>
    <row r="1148" spans="1:7" x14ac:dyDescent="0.3">
      <c r="A1148" s="2" t="s">
        <v>21</v>
      </c>
      <c r="B1148" s="2" t="s">
        <v>75</v>
      </c>
      <c r="C1148" s="2" t="s">
        <v>67</v>
      </c>
      <c r="D1148" s="2" t="s">
        <v>24</v>
      </c>
      <c r="E1148" s="2" t="s">
        <v>162</v>
      </c>
      <c r="F1148" s="2">
        <v>-10.047896637361958</v>
      </c>
      <c r="G1148" s="2" t="str">
        <f>Table1_1[[#This Row],[Country Name]]&amp;"|"&amp;Table1_1[[#This Row],[Series Name]]&amp;"|"&amp;Table1_1[[#This Row],[Years]]</f>
        <v>United Kingdom|GDP growth (annual %)|2020</v>
      </c>
    </row>
    <row r="1149" spans="1:7" x14ac:dyDescent="0.3">
      <c r="A1149" s="2" t="s">
        <v>21</v>
      </c>
      <c r="B1149" s="2" t="s">
        <v>75</v>
      </c>
      <c r="C1149" s="2" t="s">
        <v>67</v>
      </c>
      <c r="D1149" s="2" t="s">
        <v>24</v>
      </c>
      <c r="E1149" s="2" t="s">
        <v>163</v>
      </c>
      <c r="F1149" s="2">
        <v>8.5431118453254982</v>
      </c>
      <c r="G1149" s="2" t="str">
        <f>Table1_1[[#This Row],[Country Name]]&amp;"|"&amp;Table1_1[[#This Row],[Series Name]]&amp;"|"&amp;Table1_1[[#This Row],[Years]]</f>
        <v>United Kingdom|GDP growth (annual %)|2021</v>
      </c>
    </row>
    <row r="1150" spans="1:7" x14ac:dyDescent="0.3">
      <c r="A1150" s="2" t="s">
        <v>21</v>
      </c>
      <c r="B1150" s="2" t="s">
        <v>75</v>
      </c>
      <c r="C1150" s="2" t="s">
        <v>67</v>
      </c>
      <c r="D1150" s="2" t="s">
        <v>24</v>
      </c>
      <c r="E1150" s="2" t="s">
        <v>164</v>
      </c>
      <c r="F1150" s="2">
        <v>5.1497038852299255</v>
      </c>
      <c r="G1150" s="2" t="str">
        <f>Table1_1[[#This Row],[Country Name]]&amp;"|"&amp;Table1_1[[#This Row],[Series Name]]&amp;"|"&amp;Table1_1[[#This Row],[Years]]</f>
        <v>United Kingdom|GDP growth (annual %)|2022</v>
      </c>
    </row>
    <row r="1151" spans="1:7" x14ac:dyDescent="0.3">
      <c r="A1151" s="2" t="s">
        <v>21</v>
      </c>
      <c r="B1151" s="2" t="s">
        <v>75</v>
      </c>
      <c r="C1151" s="2" t="s">
        <v>67</v>
      </c>
      <c r="D1151" s="2" t="s">
        <v>24</v>
      </c>
      <c r="E1151" s="2" t="s">
        <v>165</v>
      </c>
      <c r="F1151" s="2">
        <v>0.27165004835525508</v>
      </c>
      <c r="G1151" s="2" t="str">
        <f>Table1_1[[#This Row],[Country Name]]&amp;"|"&amp;Table1_1[[#This Row],[Series Name]]&amp;"|"&amp;Table1_1[[#This Row],[Years]]</f>
        <v>United Kingdom|GDP growth (annual %)|2023</v>
      </c>
    </row>
    <row r="1152" spans="1:7" x14ac:dyDescent="0.3">
      <c r="A1152" s="2" t="s">
        <v>21</v>
      </c>
      <c r="B1152" s="2" t="s">
        <v>75</v>
      </c>
      <c r="C1152" s="2" t="s">
        <v>67</v>
      </c>
      <c r="D1152" s="2" t="s">
        <v>24</v>
      </c>
      <c r="E1152" s="2" t="s">
        <v>166</v>
      </c>
      <c r="F1152" s="2">
        <v>1.0802771685878128</v>
      </c>
      <c r="G1152" s="2" t="str">
        <f>Table1_1[[#This Row],[Country Name]]&amp;"|"&amp;Table1_1[[#This Row],[Series Name]]&amp;"|"&amp;Table1_1[[#This Row],[Years]]</f>
        <v>United Kingdom|GDP growth (annual %)|2024</v>
      </c>
    </row>
    <row r="1153" spans="1:7" x14ac:dyDescent="0.3">
      <c r="A1153" s="2" t="s">
        <v>21</v>
      </c>
      <c r="B1153" s="2" t="s">
        <v>75</v>
      </c>
      <c r="C1153" s="2" t="s">
        <v>67</v>
      </c>
      <c r="D1153" s="2" t="s">
        <v>24</v>
      </c>
      <c r="E1153" s="2" t="s">
        <v>167</v>
      </c>
      <c r="F1153" s="2">
        <v>1.3884420785872607</v>
      </c>
      <c r="G1153" s="2" t="str">
        <f>Table1_1[[#This Row],[Country Name]]&amp;"|"&amp;Table1_1[[#This Row],[Series Name]]&amp;"|"&amp;Table1_1[[#This Row],[Years]]</f>
        <v>United Kingdom|GDP growth (annual %)|2025</v>
      </c>
    </row>
    <row r="1154" spans="1:7" x14ac:dyDescent="0.3">
      <c r="A1154" s="2" t="s">
        <v>21</v>
      </c>
      <c r="B1154" s="2" t="s">
        <v>75</v>
      </c>
      <c r="C1154" s="2" t="s">
        <v>79</v>
      </c>
      <c r="D1154" s="2" t="s">
        <v>91</v>
      </c>
      <c r="E1154" s="2" t="s">
        <v>152</v>
      </c>
      <c r="F1154" s="2">
        <v>2.492654724670655</v>
      </c>
      <c r="G1154" s="2" t="str">
        <f>Table1_1[[#This Row],[Country Name]]&amp;"|"&amp;Table1_1[[#This Row],[Series Name]]&amp;"|"&amp;Table1_1[[#This Row],[Years]]</f>
        <v>United Kingdom|Inflation, consumer prices (annual %)|2010</v>
      </c>
    </row>
    <row r="1155" spans="1:7" x14ac:dyDescent="0.3">
      <c r="A1155" s="2" t="s">
        <v>21</v>
      </c>
      <c r="B1155" s="2" t="s">
        <v>75</v>
      </c>
      <c r="C1155" s="2" t="s">
        <v>79</v>
      </c>
      <c r="D1155" s="2" t="s">
        <v>91</v>
      </c>
      <c r="E1155" s="2" t="s">
        <v>153</v>
      </c>
      <c r="F1155" s="2">
        <v>3.8561124468282002</v>
      </c>
      <c r="G1155" s="2" t="str">
        <f>Table1_1[[#This Row],[Country Name]]&amp;"|"&amp;Table1_1[[#This Row],[Series Name]]&amp;"|"&amp;Table1_1[[#This Row],[Years]]</f>
        <v>United Kingdom|Inflation, consumer prices (annual %)|2011</v>
      </c>
    </row>
    <row r="1156" spans="1:7" x14ac:dyDescent="0.3">
      <c r="A1156" s="2" t="s">
        <v>21</v>
      </c>
      <c r="B1156" s="2" t="s">
        <v>75</v>
      </c>
      <c r="C1156" s="2" t="s">
        <v>79</v>
      </c>
      <c r="D1156" s="2" t="s">
        <v>91</v>
      </c>
      <c r="E1156" s="2" t="s">
        <v>154</v>
      </c>
      <c r="F1156" s="2">
        <v>2.573234796545302</v>
      </c>
      <c r="G1156" s="2" t="str">
        <f>Table1_1[[#This Row],[Country Name]]&amp;"|"&amp;Table1_1[[#This Row],[Series Name]]&amp;"|"&amp;Table1_1[[#This Row],[Years]]</f>
        <v>United Kingdom|Inflation, consumer prices (annual %)|2012</v>
      </c>
    </row>
    <row r="1157" spans="1:7" x14ac:dyDescent="0.3">
      <c r="A1157" s="2" t="s">
        <v>21</v>
      </c>
      <c r="B1157" s="2" t="s">
        <v>75</v>
      </c>
      <c r="C1157" s="2" t="s">
        <v>79</v>
      </c>
      <c r="D1157" s="2" t="s">
        <v>91</v>
      </c>
      <c r="E1157" s="2" t="s">
        <v>155</v>
      </c>
      <c r="F1157" s="2">
        <v>2.2916666666665941</v>
      </c>
      <c r="G1157" s="2" t="str">
        <f>Table1_1[[#This Row],[Country Name]]&amp;"|"&amp;Table1_1[[#This Row],[Series Name]]&amp;"|"&amp;Table1_1[[#This Row],[Years]]</f>
        <v>United Kingdom|Inflation, consumer prices (annual %)|2013</v>
      </c>
    </row>
    <row r="1158" spans="1:7" x14ac:dyDescent="0.3">
      <c r="A1158" s="2" t="s">
        <v>21</v>
      </c>
      <c r="B1158" s="2" t="s">
        <v>75</v>
      </c>
      <c r="C1158" s="2" t="s">
        <v>79</v>
      </c>
      <c r="D1158" s="2" t="s">
        <v>91</v>
      </c>
      <c r="E1158" s="2" t="s">
        <v>156</v>
      </c>
      <c r="F1158" s="2">
        <v>1.4511201629327919</v>
      </c>
      <c r="G1158" s="2" t="str">
        <f>Table1_1[[#This Row],[Country Name]]&amp;"|"&amp;Table1_1[[#This Row],[Series Name]]&amp;"|"&amp;Table1_1[[#This Row],[Years]]</f>
        <v>United Kingdom|Inflation, consumer prices (annual %)|2014</v>
      </c>
    </row>
    <row r="1159" spans="1:7" x14ac:dyDescent="0.3">
      <c r="A1159" s="2" t="s">
        <v>21</v>
      </c>
      <c r="B1159" s="2" t="s">
        <v>75</v>
      </c>
      <c r="C1159" s="2" t="s">
        <v>79</v>
      </c>
      <c r="D1159" s="2" t="s">
        <v>91</v>
      </c>
      <c r="E1159" s="2" t="s">
        <v>157</v>
      </c>
      <c r="F1159" s="2">
        <v>0.36804684232536039</v>
      </c>
      <c r="G1159" s="2" t="str">
        <f>Table1_1[[#This Row],[Country Name]]&amp;"|"&amp;Table1_1[[#This Row],[Series Name]]&amp;"|"&amp;Table1_1[[#This Row],[Years]]</f>
        <v>United Kingdom|Inflation, consumer prices (annual %)|2015</v>
      </c>
    </row>
    <row r="1160" spans="1:7" x14ac:dyDescent="0.3">
      <c r="A1160" s="2" t="s">
        <v>21</v>
      </c>
      <c r="B1160" s="2" t="s">
        <v>75</v>
      </c>
      <c r="C1160" s="2" t="s">
        <v>79</v>
      </c>
      <c r="D1160" s="2" t="s">
        <v>91</v>
      </c>
      <c r="E1160" s="2" t="s">
        <v>158</v>
      </c>
      <c r="F1160" s="2">
        <v>1.0084173681140951</v>
      </c>
      <c r="G1160" s="2" t="str">
        <f>Table1_1[[#This Row],[Country Name]]&amp;"|"&amp;Table1_1[[#This Row],[Series Name]]&amp;"|"&amp;Table1_1[[#This Row],[Years]]</f>
        <v>United Kingdom|Inflation, consumer prices (annual %)|2016</v>
      </c>
    </row>
    <row r="1161" spans="1:7" x14ac:dyDescent="0.3">
      <c r="A1161" s="2" t="s">
        <v>21</v>
      </c>
      <c r="B1161" s="2" t="s">
        <v>75</v>
      </c>
      <c r="C1161" s="2" t="s">
        <v>79</v>
      </c>
      <c r="D1161" s="2" t="s">
        <v>91</v>
      </c>
      <c r="E1161" s="2" t="s">
        <v>159</v>
      </c>
      <c r="F1161" s="2">
        <v>2.5577557755774731</v>
      </c>
      <c r="G1161" s="2" t="str">
        <f>Table1_1[[#This Row],[Country Name]]&amp;"|"&amp;Table1_1[[#This Row],[Series Name]]&amp;"|"&amp;Table1_1[[#This Row],[Years]]</f>
        <v>United Kingdom|Inflation, consumer prices (annual %)|2017</v>
      </c>
    </row>
    <row r="1162" spans="1:7" x14ac:dyDescent="0.3">
      <c r="A1162" s="2" t="s">
        <v>21</v>
      </c>
      <c r="B1162" s="2" t="s">
        <v>75</v>
      </c>
      <c r="C1162" s="2" t="s">
        <v>79</v>
      </c>
      <c r="D1162" s="2" t="s">
        <v>91</v>
      </c>
      <c r="E1162" s="2" t="s">
        <v>160</v>
      </c>
      <c r="F1162" s="2">
        <v>2.292839903459376</v>
      </c>
      <c r="G1162" s="2" t="str">
        <f>Table1_1[[#This Row],[Country Name]]&amp;"|"&amp;Table1_1[[#This Row],[Series Name]]&amp;"|"&amp;Table1_1[[#This Row],[Years]]</f>
        <v>United Kingdom|Inflation, consumer prices (annual %)|2018</v>
      </c>
    </row>
    <row r="1163" spans="1:7" x14ac:dyDescent="0.3">
      <c r="A1163" s="2" t="s">
        <v>21</v>
      </c>
      <c r="B1163" s="2" t="s">
        <v>75</v>
      </c>
      <c r="C1163" s="2" t="s">
        <v>79</v>
      </c>
      <c r="D1163" s="2" t="s">
        <v>91</v>
      </c>
      <c r="E1163" s="2" t="s">
        <v>161</v>
      </c>
      <c r="F1163" s="2">
        <v>1.738104600865128</v>
      </c>
      <c r="G1163" s="2" t="str">
        <f>Table1_1[[#This Row],[Country Name]]&amp;"|"&amp;Table1_1[[#This Row],[Series Name]]&amp;"|"&amp;Table1_1[[#This Row],[Years]]</f>
        <v>United Kingdom|Inflation, consumer prices (annual %)|2019</v>
      </c>
    </row>
    <row r="1164" spans="1:7" x14ac:dyDescent="0.3">
      <c r="A1164" s="2" t="s">
        <v>21</v>
      </c>
      <c r="B1164" s="2" t="s">
        <v>75</v>
      </c>
      <c r="C1164" s="2" t="s">
        <v>79</v>
      </c>
      <c r="D1164" s="2" t="s">
        <v>91</v>
      </c>
      <c r="E1164" s="2" t="s">
        <v>162</v>
      </c>
      <c r="F1164" s="2">
        <v>0.98948670377249126</v>
      </c>
      <c r="G1164" s="2" t="str">
        <f>Table1_1[[#This Row],[Country Name]]&amp;"|"&amp;Table1_1[[#This Row],[Series Name]]&amp;"|"&amp;Table1_1[[#This Row],[Years]]</f>
        <v>United Kingdom|Inflation, consumer prices (annual %)|2020</v>
      </c>
    </row>
    <row r="1165" spans="1:7" x14ac:dyDescent="0.3">
      <c r="A1165" s="2" t="s">
        <v>21</v>
      </c>
      <c r="B1165" s="2" t="s">
        <v>75</v>
      </c>
      <c r="C1165" s="2" t="s">
        <v>79</v>
      </c>
      <c r="D1165" s="2" t="s">
        <v>91</v>
      </c>
      <c r="E1165" s="2" t="s">
        <v>163</v>
      </c>
      <c r="F1165" s="2">
        <v>2.51837109614213</v>
      </c>
      <c r="G1165" s="2" t="str">
        <f>Table1_1[[#This Row],[Country Name]]&amp;"|"&amp;Table1_1[[#This Row],[Series Name]]&amp;"|"&amp;Table1_1[[#This Row],[Years]]</f>
        <v>United Kingdom|Inflation, consumer prices (annual %)|2021</v>
      </c>
    </row>
    <row r="1166" spans="1:7" x14ac:dyDescent="0.3">
      <c r="A1166" s="2" t="s">
        <v>21</v>
      </c>
      <c r="B1166" s="2" t="s">
        <v>75</v>
      </c>
      <c r="C1166" s="2" t="s">
        <v>79</v>
      </c>
      <c r="D1166" s="2" t="s">
        <v>91</v>
      </c>
      <c r="E1166" s="2" t="s">
        <v>164</v>
      </c>
      <c r="F1166" s="2">
        <v>7.9220488314790227</v>
      </c>
      <c r="G1166" s="2" t="str">
        <f>Table1_1[[#This Row],[Country Name]]&amp;"|"&amp;Table1_1[[#This Row],[Series Name]]&amp;"|"&amp;Table1_1[[#This Row],[Years]]</f>
        <v>United Kingdom|Inflation, consumer prices (annual %)|2022</v>
      </c>
    </row>
    <row r="1167" spans="1:7" x14ac:dyDescent="0.3">
      <c r="A1167" s="2" t="s">
        <v>21</v>
      </c>
      <c r="B1167" s="2" t="s">
        <v>75</v>
      </c>
      <c r="C1167" s="2" t="s">
        <v>79</v>
      </c>
      <c r="D1167" s="2" t="s">
        <v>91</v>
      </c>
      <c r="E1167" s="2" t="s">
        <v>165</v>
      </c>
      <c r="F1167" s="2">
        <v>6.7939670679396258</v>
      </c>
      <c r="G1167" s="2" t="str">
        <f>Table1_1[[#This Row],[Country Name]]&amp;"|"&amp;Table1_1[[#This Row],[Series Name]]&amp;"|"&amp;Table1_1[[#This Row],[Years]]</f>
        <v>United Kingdom|Inflation, consumer prices (annual %)|2023</v>
      </c>
    </row>
    <row r="1168" spans="1:7" x14ac:dyDescent="0.3">
      <c r="A1168" s="2" t="s">
        <v>21</v>
      </c>
      <c r="B1168" s="2" t="s">
        <v>75</v>
      </c>
      <c r="C1168" s="2" t="s">
        <v>79</v>
      </c>
      <c r="D1168" s="2" t="s">
        <v>91</v>
      </c>
      <c r="E1168" s="2" t="s">
        <v>166</v>
      </c>
      <c r="F1168" s="2">
        <v>3.2715729463592012</v>
      </c>
      <c r="G1168" s="2" t="str">
        <f>Table1_1[[#This Row],[Country Name]]&amp;"|"&amp;Table1_1[[#This Row],[Series Name]]&amp;"|"&amp;Table1_1[[#This Row],[Years]]</f>
        <v>United Kingdom|Inflation, consumer prices (annual %)|2024</v>
      </c>
    </row>
    <row r="1169" spans="1:7" x14ac:dyDescent="0.3">
      <c r="A1169" s="2" t="s">
        <v>21</v>
      </c>
      <c r="B1169" s="2" t="s">
        <v>75</v>
      </c>
      <c r="C1169" s="2" t="s">
        <v>79</v>
      </c>
      <c r="D1169" s="2" t="s">
        <v>91</v>
      </c>
      <c r="E1169" s="2" t="s">
        <v>167</v>
      </c>
      <c r="F1169" s="2">
        <v>3.883068816259998</v>
      </c>
      <c r="G1169" s="2" t="str">
        <f>Table1_1[[#This Row],[Country Name]]&amp;"|"&amp;Table1_1[[#This Row],[Series Name]]&amp;"|"&amp;Table1_1[[#This Row],[Years]]</f>
        <v>United Kingdom|Inflation, consumer prices (annual %)|2025</v>
      </c>
    </row>
    <row r="1170" spans="1:7" x14ac:dyDescent="0.3">
      <c r="A1170" s="2" t="s">
        <v>21</v>
      </c>
      <c r="B1170" s="2" t="s">
        <v>75</v>
      </c>
      <c r="C1170" s="2" t="s">
        <v>146</v>
      </c>
      <c r="D1170" s="2" t="s">
        <v>131</v>
      </c>
      <c r="E1170" s="2" t="s">
        <v>152</v>
      </c>
      <c r="F1170" s="2">
        <v>7.9729999999999999</v>
      </c>
      <c r="G1170" s="2" t="str">
        <f>Table1_1[[#This Row],[Country Name]]&amp;"|"&amp;Table1_1[[#This Row],[Series Name]]&amp;"|"&amp;Table1_1[[#This Row],[Years]]</f>
        <v>United Kingdom|Unemployment, total (% of total labor force) (modeled ILO estimate)|2010</v>
      </c>
    </row>
    <row r="1171" spans="1:7" x14ac:dyDescent="0.3">
      <c r="A1171" s="2" t="s">
        <v>21</v>
      </c>
      <c r="B1171" s="2" t="s">
        <v>75</v>
      </c>
      <c r="C1171" s="2" t="s">
        <v>146</v>
      </c>
      <c r="D1171" s="2" t="s">
        <v>131</v>
      </c>
      <c r="E1171" s="2" t="s">
        <v>153</v>
      </c>
      <c r="F1171" s="2">
        <v>8.1950000000000003</v>
      </c>
      <c r="G1171" s="2" t="str">
        <f>Table1_1[[#This Row],[Country Name]]&amp;"|"&amp;Table1_1[[#This Row],[Series Name]]&amp;"|"&amp;Table1_1[[#This Row],[Years]]</f>
        <v>United Kingdom|Unemployment, total (% of total labor force) (modeled ILO estimate)|2011</v>
      </c>
    </row>
    <row r="1172" spans="1:7" x14ac:dyDescent="0.3">
      <c r="A1172" s="2" t="s">
        <v>21</v>
      </c>
      <c r="B1172" s="2" t="s">
        <v>75</v>
      </c>
      <c r="C1172" s="2" t="s">
        <v>146</v>
      </c>
      <c r="D1172" s="2" t="s">
        <v>131</v>
      </c>
      <c r="E1172" s="2" t="s">
        <v>154</v>
      </c>
      <c r="F1172" s="2">
        <v>8.2789999999999999</v>
      </c>
      <c r="G1172" s="2" t="str">
        <f>Table1_1[[#This Row],[Country Name]]&amp;"|"&amp;Table1_1[[#This Row],[Series Name]]&amp;"|"&amp;Table1_1[[#This Row],[Years]]</f>
        <v>United Kingdom|Unemployment, total (% of total labor force) (modeled ILO estimate)|2012</v>
      </c>
    </row>
    <row r="1173" spans="1:7" x14ac:dyDescent="0.3">
      <c r="A1173" s="2" t="s">
        <v>21</v>
      </c>
      <c r="B1173" s="2" t="s">
        <v>75</v>
      </c>
      <c r="C1173" s="2" t="s">
        <v>146</v>
      </c>
      <c r="D1173" s="2" t="s">
        <v>131</v>
      </c>
      <c r="E1173" s="2" t="s">
        <v>155</v>
      </c>
      <c r="F1173" s="2">
        <v>7.7519999999999998</v>
      </c>
      <c r="G1173" s="2" t="str">
        <f>Table1_1[[#This Row],[Country Name]]&amp;"|"&amp;Table1_1[[#This Row],[Series Name]]&amp;"|"&amp;Table1_1[[#This Row],[Years]]</f>
        <v>United Kingdom|Unemployment, total (% of total labor force) (modeled ILO estimate)|2013</v>
      </c>
    </row>
    <row r="1174" spans="1:7" x14ac:dyDescent="0.3">
      <c r="A1174" s="2" t="s">
        <v>21</v>
      </c>
      <c r="B1174" s="2" t="s">
        <v>75</v>
      </c>
      <c r="C1174" s="2" t="s">
        <v>146</v>
      </c>
      <c r="D1174" s="2" t="s">
        <v>131</v>
      </c>
      <c r="E1174" s="2" t="s">
        <v>156</v>
      </c>
      <c r="F1174" s="2">
        <v>6.3979999999999997</v>
      </c>
      <c r="G1174" s="2" t="str">
        <f>Table1_1[[#This Row],[Country Name]]&amp;"|"&amp;Table1_1[[#This Row],[Series Name]]&amp;"|"&amp;Table1_1[[#This Row],[Years]]</f>
        <v>United Kingdom|Unemployment, total (% of total labor force) (modeled ILO estimate)|2014</v>
      </c>
    </row>
    <row r="1175" spans="1:7" x14ac:dyDescent="0.3">
      <c r="A1175" s="2" t="s">
        <v>21</v>
      </c>
      <c r="B1175" s="2" t="s">
        <v>75</v>
      </c>
      <c r="C1175" s="2" t="s">
        <v>146</v>
      </c>
      <c r="D1175" s="2" t="s">
        <v>131</v>
      </c>
      <c r="E1175" s="2" t="s">
        <v>157</v>
      </c>
      <c r="F1175" s="2">
        <v>5.5519999999999996</v>
      </c>
      <c r="G1175" s="2" t="str">
        <f>Table1_1[[#This Row],[Country Name]]&amp;"|"&amp;Table1_1[[#This Row],[Series Name]]&amp;"|"&amp;Table1_1[[#This Row],[Years]]</f>
        <v>United Kingdom|Unemployment, total (% of total labor force) (modeled ILO estimate)|2015</v>
      </c>
    </row>
    <row r="1176" spans="1:7" x14ac:dyDescent="0.3">
      <c r="A1176" s="2" t="s">
        <v>21</v>
      </c>
      <c r="B1176" s="2" t="s">
        <v>75</v>
      </c>
      <c r="C1176" s="2" t="s">
        <v>146</v>
      </c>
      <c r="D1176" s="2" t="s">
        <v>131</v>
      </c>
      <c r="E1176" s="2" t="s">
        <v>158</v>
      </c>
      <c r="F1176" s="2">
        <v>4.9089999999999998</v>
      </c>
      <c r="G1176" s="2" t="str">
        <f>Table1_1[[#This Row],[Country Name]]&amp;"|"&amp;Table1_1[[#This Row],[Series Name]]&amp;"|"&amp;Table1_1[[#This Row],[Years]]</f>
        <v>United Kingdom|Unemployment, total (% of total labor force) (modeled ILO estimate)|2016</v>
      </c>
    </row>
    <row r="1177" spans="1:7" x14ac:dyDescent="0.3">
      <c r="A1177" s="2" t="s">
        <v>21</v>
      </c>
      <c r="B1177" s="2" t="s">
        <v>75</v>
      </c>
      <c r="C1177" s="2" t="s">
        <v>146</v>
      </c>
      <c r="D1177" s="2" t="s">
        <v>131</v>
      </c>
      <c r="E1177" s="2" t="s">
        <v>159</v>
      </c>
      <c r="F1177" s="2">
        <v>4.5010000000000003</v>
      </c>
      <c r="G1177" s="2" t="str">
        <f>Table1_1[[#This Row],[Country Name]]&amp;"|"&amp;Table1_1[[#This Row],[Series Name]]&amp;"|"&amp;Table1_1[[#This Row],[Years]]</f>
        <v>United Kingdom|Unemployment, total (% of total labor force) (modeled ILO estimate)|2017</v>
      </c>
    </row>
    <row r="1178" spans="1:7" x14ac:dyDescent="0.3">
      <c r="A1178" s="2" t="s">
        <v>21</v>
      </c>
      <c r="B1178" s="2" t="s">
        <v>75</v>
      </c>
      <c r="C1178" s="2" t="s">
        <v>146</v>
      </c>
      <c r="D1178" s="2" t="s">
        <v>131</v>
      </c>
      <c r="E1178" s="2" t="s">
        <v>160</v>
      </c>
      <c r="F1178" s="2">
        <v>4.1449999999999996</v>
      </c>
      <c r="G1178" s="2" t="str">
        <f>Table1_1[[#This Row],[Country Name]]&amp;"|"&amp;Table1_1[[#This Row],[Series Name]]&amp;"|"&amp;Table1_1[[#This Row],[Years]]</f>
        <v>United Kingdom|Unemployment, total (% of total labor force) (modeled ILO estimate)|2018</v>
      </c>
    </row>
    <row r="1179" spans="1:7" x14ac:dyDescent="0.3">
      <c r="A1179" s="2" t="s">
        <v>21</v>
      </c>
      <c r="B1179" s="2" t="s">
        <v>75</v>
      </c>
      <c r="C1179" s="2" t="s">
        <v>146</v>
      </c>
      <c r="D1179" s="2" t="s">
        <v>131</v>
      </c>
      <c r="E1179" s="2" t="s">
        <v>161</v>
      </c>
      <c r="F1179" s="2">
        <v>3.657</v>
      </c>
      <c r="G1179" s="2" t="str">
        <f>Table1_1[[#This Row],[Country Name]]&amp;"|"&amp;Table1_1[[#This Row],[Series Name]]&amp;"|"&amp;Table1_1[[#This Row],[Years]]</f>
        <v>United Kingdom|Unemployment, total (% of total labor force) (modeled ILO estimate)|2019</v>
      </c>
    </row>
    <row r="1180" spans="1:7" x14ac:dyDescent="0.3">
      <c r="A1180" s="2" t="s">
        <v>21</v>
      </c>
      <c r="B1180" s="2" t="s">
        <v>75</v>
      </c>
      <c r="C1180" s="2" t="s">
        <v>146</v>
      </c>
      <c r="D1180" s="2" t="s">
        <v>131</v>
      </c>
      <c r="E1180" s="2" t="s">
        <v>162</v>
      </c>
      <c r="F1180" s="2">
        <v>4.4720000000000004</v>
      </c>
      <c r="G1180" s="2" t="str">
        <f>Table1_1[[#This Row],[Country Name]]&amp;"|"&amp;Table1_1[[#This Row],[Series Name]]&amp;"|"&amp;Table1_1[[#This Row],[Years]]</f>
        <v>United Kingdom|Unemployment, total (% of total labor force) (modeled ILO estimate)|2020</v>
      </c>
    </row>
    <row r="1181" spans="1:7" x14ac:dyDescent="0.3">
      <c r="A1181" s="2" t="s">
        <v>21</v>
      </c>
      <c r="B1181" s="2" t="s">
        <v>75</v>
      </c>
      <c r="C1181" s="2" t="s">
        <v>146</v>
      </c>
      <c r="D1181" s="2" t="s">
        <v>131</v>
      </c>
      <c r="E1181" s="2" t="s">
        <v>163</v>
      </c>
      <c r="F1181" s="2">
        <v>4.8639999999999999</v>
      </c>
      <c r="G1181" s="2" t="str">
        <f>Table1_1[[#This Row],[Country Name]]&amp;"|"&amp;Table1_1[[#This Row],[Series Name]]&amp;"|"&amp;Table1_1[[#This Row],[Years]]</f>
        <v>United Kingdom|Unemployment, total (% of total labor force) (modeled ILO estimate)|2021</v>
      </c>
    </row>
    <row r="1182" spans="1:7" x14ac:dyDescent="0.3">
      <c r="A1182" s="2" t="s">
        <v>21</v>
      </c>
      <c r="B1182" s="2" t="s">
        <v>75</v>
      </c>
      <c r="C1182" s="2" t="s">
        <v>146</v>
      </c>
      <c r="D1182" s="2" t="s">
        <v>131</v>
      </c>
      <c r="E1182" s="2" t="s">
        <v>164</v>
      </c>
      <c r="F1182" s="2">
        <v>3.7679999999999998</v>
      </c>
      <c r="G1182" s="2" t="str">
        <f>Table1_1[[#This Row],[Country Name]]&amp;"|"&amp;Table1_1[[#This Row],[Series Name]]&amp;"|"&amp;Table1_1[[#This Row],[Years]]</f>
        <v>United Kingdom|Unemployment, total (% of total labor force) (modeled ILO estimate)|2022</v>
      </c>
    </row>
    <row r="1183" spans="1:7" x14ac:dyDescent="0.3">
      <c r="A1183" s="2" t="s">
        <v>21</v>
      </c>
      <c r="B1183" s="2" t="s">
        <v>75</v>
      </c>
      <c r="C1183" s="2" t="s">
        <v>146</v>
      </c>
      <c r="D1183" s="2" t="s">
        <v>131</v>
      </c>
      <c r="E1183" s="2" t="s">
        <v>165</v>
      </c>
      <c r="F1183" s="2">
        <v>4.0250000000000004</v>
      </c>
      <c r="G1183" s="2" t="str">
        <f>Table1_1[[#This Row],[Country Name]]&amp;"|"&amp;Table1_1[[#This Row],[Series Name]]&amp;"|"&amp;Table1_1[[#This Row],[Years]]</f>
        <v>United Kingdom|Unemployment, total (% of total labor force) (modeled ILO estimate)|2023</v>
      </c>
    </row>
    <row r="1184" spans="1:7" x14ac:dyDescent="0.3">
      <c r="A1184" s="2" t="s">
        <v>21</v>
      </c>
      <c r="B1184" s="2" t="s">
        <v>75</v>
      </c>
      <c r="C1184" s="2" t="s">
        <v>146</v>
      </c>
      <c r="D1184" s="2" t="s">
        <v>131</v>
      </c>
      <c r="E1184" s="2" t="s">
        <v>166</v>
      </c>
      <c r="F1184" s="2">
        <v>4.3609999999999998</v>
      </c>
      <c r="G1184" s="2" t="str">
        <f>Table1_1[[#This Row],[Country Name]]&amp;"|"&amp;Table1_1[[#This Row],[Series Name]]&amp;"|"&amp;Table1_1[[#This Row],[Years]]</f>
        <v>United Kingdom|Unemployment, total (% of total labor force) (modeled ILO estimate)|2024</v>
      </c>
    </row>
    <row r="1185" spans="1:7" x14ac:dyDescent="0.3">
      <c r="A1185" s="2" t="s">
        <v>21</v>
      </c>
      <c r="B1185" s="2" t="s">
        <v>75</v>
      </c>
      <c r="C1185" s="2" t="s">
        <v>146</v>
      </c>
      <c r="D1185" s="2" t="s">
        <v>131</v>
      </c>
      <c r="E1185" s="2" t="s">
        <v>167</v>
      </c>
      <c r="F1185" s="2">
        <v>4.7460000000000004</v>
      </c>
      <c r="G1185" s="2" t="str">
        <f>Table1_1[[#This Row],[Country Name]]&amp;"|"&amp;Table1_1[[#This Row],[Series Name]]&amp;"|"&amp;Table1_1[[#This Row],[Years]]</f>
        <v>United Kingdom|Unemployment, total (% of total labor force) (modeled ILO estimate)|2025</v>
      </c>
    </row>
    <row r="1186" spans="1:7" x14ac:dyDescent="0.3">
      <c r="A1186" s="2" t="s">
        <v>21</v>
      </c>
      <c r="B1186" s="2" t="s">
        <v>75</v>
      </c>
      <c r="C1186" s="2" t="s">
        <v>34</v>
      </c>
      <c r="D1186" s="2" t="s">
        <v>17</v>
      </c>
      <c r="E1186" s="2" t="s">
        <v>152</v>
      </c>
      <c r="F1186" s="2">
        <v>0.5</v>
      </c>
      <c r="G1186" s="2" t="str">
        <f>Table1_1[[#This Row],[Country Name]]&amp;"|"&amp;Table1_1[[#This Row],[Series Name]]&amp;"|"&amp;Table1_1[[#This Row],[Years]]</f>
        <v>United Kingdom|Lending interest rate (%)|2010</v>
      </c>
    </row>
    <row r="1187" spans="1:7" x14ac:dyDescent="0.3">
      <c r="A1187" s="2" t="s">
        <v>21</v>
      </c>
      <c r="B1187" s="2" t="s">
        <v>75</v>
      </c>
      <c r="C1187" s="2" t="s">
        <v>34</v>
      </c>
      <c r="D1187" s="2" t="s">
        <v>17</v>
      </c>
      <c r="E1187" s="2" t="s">
        <v>153</v>
      </c>
      <c r="F1187" s="2">
        <v>0.5</v>
      </c>
      <c r="G1187" s="2" t="str">
        <f>Table1_1[[#This Row],[Country Name]]&amp;"|"&amp;Table1_1[[#This Row],[Series Name]]&amp;"|"&amp;Table1_1[[#This Row],[Years]]</f>
        <v>United Kingdom|Lending interest rate (%)|2011</v>
      </c>
    </row>
    <row r="1188" spans="1:7" x14ac:dyDescent="0.3">
      <c r="A1188" s="2" t="s">
        <v>21</v>
      </c>
      <c r="B1188" s="2" t="s">
        <v>75</v>
      </c>
      <c r="C1188" s="2" t="s">
        <v>34</v>
      </c>
      <c r="D1188" s="2" t="s">
        <v>17</v>
      </c>
      <c r="E1188" s="2" t="s">
        <v>154</v>
      </c>
      <c r="F1188" s="2">
        <v>0.5</v>
      </c>
      <c r="G1188" s="2" t="str">
        <f>Table1_1[[#This Row],[Country Name]]&amp;"|"&amp;Table1_1[[#This Row],[Series Name]]&amp;"|"&amp;Table1_1[[#This Row],[Years]]</f>
        <v>United Kingdom|Lending interest rate (%)|2012</v>
      </c>
    </row>
    <row r="1189" spans="1:7" x14ac:dyDescent="0.3">
      <c r="A1189" s="2" t="s">
        <v>21</v>
      </c>
      <c r="B1189" s="2" t="s">
        <v>75</v>
      </c>
      <c r="C1189" s="2" t="s">
        <v>34</v>
      </c>
      <c r="D1189" s="2" t="s">
        <v>17</v>
      </c>
      <c r="E1189" s="2" t="s">
        <v>155</v>
      </c>
      <c r="F1189" s="2">
        <v>0.5</v>
      </c>
      <c r="G1189" s="2" t="str">
        <f>Table1_1[[#This Row],[Country Name]]&amp;"|"&amp;Table1_1[[#This Row],[Series Name]]&amp;"|"&amp;Table1_1[[#This Row],[Years]]</f>
        <v>United Kingdom|Lending interest rate (%)|2013</v>
      </c>
    </row>
    <row r="1190" spans="1:7" x14ac:dyDescent="0.3">
      <c r="A1190" s="2" t="s">
        <v>21</v>
      </c>
      <c r="B1190" s="2" t="s">
        <v>75</v>
      </c>
      <c r="C1190" s="2" t="s">
        <v>34</v>
      </c>
      <c r="D1190" s="2" t="s">
        <v>17</v>
      </c>
      <c r="E1190" s="2" t="s">
        <v>156</v>
      </c>
      <c r="F1190" s="2">
        <v>0.5</v>
      </c>
      <c r="G1190" s="2" t="str">
        <f>Table1_1[[#This Row],[Country Name]]&amp;"|"&amp;Table1_1[[#This Row],[Series Name]]&amp;"|"&amp;Table1_1[[#This Row],[Years]]</f>
        <v>United Kingdom|Lending interest rate (%)|2014</v>
      </c>
    </row>
    <row r="1191" spans="1:7" x14ac:dyDescent="0.3">
      <c r="A1191" s="2" t="s">
        <v>21</v>
      </c>
      <c r="B1191" s="2" t="s">
        <v>75</v>
      </c>
      <c r="C1191" s="2" t="s">
        <v>34</v>
      </c>
      <c r="D1191" s="2" t="s">
        <v>17</v>
      </c>
      <c r="E1191" s="2" t="s">
        <v>157</v>
      </c>
      <c r="G1191" s="2" t="str">
        <f>Table1_1[[#This Row],[Country Name]]&amp;"|"&amp;Table1_1[[#This Row],[Series Name]]&amp;"|"&amp;Table1_1[[#This Row],[Years]]</f>
        <v>United Kingdom|Lending interest rate (%)|2015</v>
      </c>
    </row>
    <row r="1192" spans="1:7" x14ac:dyDescent="0.3">
      <c r="A1192" s="2" t="s">
        <v>21</v>
      </c>
      <c r="B1192" s="2" t="s">
        <v>75</v>
      </c>
      <c r="C1192" s="2" t="s">
        <v>34</v>
      </c>
      <c r="D1192" s="2" t="s">
        <v>17</v>
      </c>
      <c r="E1192" s="2" t="s">
        <v>158</v>
      </c>
      <c r="G1192" s="2" t="str">
        <f>Table1_1[[#This Row],[Country Name]]&amp;"|"&amp;Table1_1[[#This Row],[Series Name]]&amp;"|"&amp;Table1_1[[#This Row],[Years]]</f>
        <v>United Kingdom|Lending interest rate (%)|2016</v>
      </c>
    </row>
    <row r="1193" spans="1:7" x14ac:dyDescent="0.3">
      <c r="A1193" s="2" t="s">
        <v>21</v>
      </c>
      <c r="B1193" s="2" t="s">
        <v>75</v>
      </c>
      <c r="C1193" s="2" t="s">
        <v>34</v>
      </c>
      <c r="D1193" s="2" t="s">
        <v>17</v>
      </c>
      <c r="E1193" s="2" t="s">
        <v>159</v>
      </c>
      <c r="G1193" s="2" t="str">
        <f>Table1_1[[#This Row],[Country Name]]&amp;"|"&amp;Table1_1[[#This Row],[Series Name]]&amp;"|"&amp;Table1_1[[#This Row],[Years]]</f>
        <v>United Kingdom|Lending interest rate (%)|2017</v>
      </c>
    </row>
    <row r="1194" spans="1:7" x14ac:dyDescent="0.3">
      <c r="A1194" s="2" t="s">
        <v>21</v>
      </c>
      <c r="B1194" s="2" t="s">
        <v>75</v>
      </c>
      <c r="C1194" s="2" t="s">
        <v>34</v>
      </c>
      <c r="D1194" s="2" t="s">
        <v>17</v>
      </c>
      <c r="E1194" s="2" t="s">
        <v>160</v>
      </c>
      <c r="G1194" s="2" t="str">
        <f>Table1_1[[#This Row],[Country Name]]&amp;"|"&amp;Table1_1[[#This Row],[Series Name]]&amp;"|"&amp;Table1_1[[#This Row],[Years]]</f>
        <v>United Kingdom|Lending interest rate (%)|2018</v>
      </c>
    </row>
    <row r="1195" spans="1:7" x14ac:dyDescent="0.3">
      <c r="A1195" s="2" t="s">
        <v>21</v>
      </c>
      <c r="B1195" s="2" t="s">
        <v>75</v>
      </c>
      <c r="C1195" s="2" t="s">
        <v>34</v>
      </c>
      <c r="D1195" s="2" t="s">
        <v>17</v>
      </c>
      <c r="E1195" s="2" t="s">
        <v>161</v>
      </c>
      <c r="G1195" s="2" t="str">
        <f>Table1_1[[#This Row],[Country Name]]&amp;"|"&amp;Table1_1[[#This Row],[Series Name]]&amp;"|"&amp;Table1_1[[#This Row],[Years]]</f>
        <v>United Kingdom|Lending interest rate (%)|2019</v>
      </c>
    </row>
    <row r="1196" spans="1:7" x14ac:dyDescent="0.3">
      <c r="A1196" s="2" t="s">
        <v>21</v>
      </c>
      <c r="B1196" s="2" t="s">
        <v>75</v>
      </c>
      <c r="C1196" s="2" t="s">
        <v>34</v>
      </c>
      <c r="D1196" s="2" t="s">
        <v>17</v>
      </c>
      <c r="E1196" s="2" t="s">
        <v>162</v>
      </c>
      <c r="G1196" s="2" t="str">
        <f>Table1_1[[#This Row],[Country Name]]&amp;"|"&amp;Table1_1[[#This Row],[Series Name]]&amp;"|"&amp;Table1_1[[#This Row],[Years]]</f>
        <v>United Kingdom|Lending interest rate (%)|2020</v>
      </c>
    </row>
    <row r="1197" spans="1:7" x14ac:dyDescent="0.3">
      <c r="A1197" s="2" t="s">
        <v>21</v>
      </c>
      <c r="B1197" s="2" t="s">
        <v>75</v>
      </c>
      <c r="C1197" s="2" t="s">
        <v>34</v>
      </c>
      <c r="D1197" s="2" t="s">
        <v>17</v>
      </c>
      <c r="E1197" s="2" t="s">
        <v>163</v>
      </c>
      <c r="G1197" s="2" t="str">
        <f>Table1_1[[#This Row],[Country Name]]&amp;"|"&amp;Table1_1[[#This Row],[Series Name]]&amp;"|"&amp;Table1_1[[#This Row],[Years]]</f>
        <v>United Kingdom|Lending interest rate (%)|2021</v>
      </c>
    </row>
    <row r="1198" spans="1:7" x14ac:dyDescent="0.3">
      <c r="A1198" s="2" t="s">
        <v>21</v>
      </c>
      <c r="B1198" s="2" t="s">
        <v>75</v>
      </c>
      <c r="C1198" s="2" t="s">
        <v>34</v>
      </c>
      <c r="D1198" s="2" t="s">
        <v>17</v>
      </c>
      <c r="E1198" s="2" t="s">
        <v>164</v>
      </c>
      <c r="G1198" s="2" t="str">
        <f>Table1_1[[#This Row],[Country Name]]&amp;"|"&amp;Table1_1[[#This Row],[Series Name]]&amp;"|"&amp;Table1_1[[#This Row],[Years]]</f>
        <v>United Kingdom|Lending interest rate (%)|2022</v>
      </c>
    </row>
    <row r="1199" spans="1:7" x14ac:dyDescent="0.3">
      <c r="A1199" s="2" t="s">
        <v>21</v>
      </c>
      <c r="B1199" s="2" t="s">
        <v>75</v>
      </c>
      <c r="C1199" s="2" t="s">
        <v>34</v>
      </c>
      <c r="D1199" s="2" t="s">
        <v>17</v>
      </c>
      <c r="E1199" s="2" t="s">
        <v>165</v>
      </c>
      <c r="G1199" s="2" t="str">
        <f>Table1_1[[#This Row],[Country Name]]&amp;"|"&amp;Table1_1[[#This Row],[Series Name]]&amp;"|"&amp;Table1_1[[#This Row],[Years]]</f>
        <v>United Kingdom|Lending interest rate (%)|2023</v>
      </c>
    </row>
    <row r="1200" spans="1:7" x14ac:dyDescent="0.3">
      <c r="A1200" s="2" t="s">
        <v>21</v>
      </c>
      <c r="B1200" s="2" t="s">
        <v>75</v>
      </c>
      <c r="C1200" s="2" t="s">
        <v>34</v>
      </c>
      <c r="D1200" s="2" t="s">
        <v>17</v>
      </c>
      <c r="E1200" s="2" t="s">
        <v>166</v>
      </c>
      <c r="G1200" s="2" t="str">
        <f>Table1_1[[#This Row],[Country Name]]&amp;"|"&amp;Table1_1[[#This Row],[Series Name]]&amp;"|"&amp;Table1_1[[#This Row],[Years]]</f>
        <v>United Kingdom|Lending interest rate (%)|2024</v>
      </c>
    </row>
    <row r="1201" spans="1:7" x14ac:dyDescent="0.3">
      <c r="A1201" s="2" t="s">
        <v>21</v>
      </c>
      <c r="B1201" s="2" t="s">
        <v>75</v>
      </c>
      <c r="C1201" s="2" t="s">
        <v>34</v>
      </c>
      <c r="D1201" s="2" t="s">
        <v>17</v>
      </c>
      <c r="E1201" s="2" t="s">
        <v>167</v>
      </c>
      <c r="G1201" s="2" t="str">
        <f>Table1_1[[#This Row],[Country Name]]&amp;"|"&amp;Table1_1[[#This Row],[Series Name]]&amp;"|"&amp;Table1_1[[#This Row],[Years]]</f>
        <v>United Kingdom|Lending interest rate (%)|2025</v>
      </c>
    </row>
    <row r="1202" spans="1:7" x14ac:dyDescent="0.3">
      <c r="A1202" s="2" t="s">
        <v>21</v>
      </c>
      <c r="B1202" s="2" t="s">
        <v>75</v>
      </c>
      <c r="C1202" s="2" t="s">
        <v>83</v>
      </c>
      <c r="D1202" s="2" t="s">
        <v>72</v>
      </c>
      <c r="E1202" s="2" t="s">
        <v>152</v>
      </c>
      <c r="F1202" s="2">
        <v>0.64717934556016476</v>
      </c>
      <c r="G1202" s="2" t="str">
        <f>Table1_1[[#This Row],[Country Name]]&amp;"|"&amp;Table1_1[[#This Row],[Series Name]]&amp;"|"&amp;Table1_1[[#This Row],[Years]]</f>
        <v>United Kingdom|Official exchange rate (LCU per US$, period average)|2010</v>
      </c>
    </row>
    <row r="1203" spans="1:7" x14ac:dyDescent="0.3">
      <c r="A1203" s="2" t="s">
        <v>21</v>
      </c>
      <c r="B1203" s="2" t="s">
        <v>75</v>
      </c>
      <c r="C1203" s="2" t="s">
        <v>83</v>
      </c>
      <c r="D1203" s="2" t="s">
        <v>72</v>
      </c>
      <c r="E1203" s="2" t="s">
        <v>153</v>
      </c>
      <c r="F1203" s="2">
        <v>0.62414083574049484</v>
      </c>
      <c r="G1203" s="2" t="str">
        <f>Table1_1[[#This Row],[Country Name]]&amp;"|"&amp;Table1_1[[#This Row],[Series Name]]&amp;"|"&amp;Table1_1[[#This Row],[Years]]</f>
        <v>United Kingdom|Official exchange rate (LCU per US$, period average)|2011</v>
      </c>
    </row>
    <row r="1204" spans="1:7" x14ac:dyDescent="0.3">
      <c r="A1204" s="2" t="s">
        <v>21</v>
      </c>
      <c r="B1204" s="2" t="s">
        <v>75</v>
      </c>
      <c r="C1204" s="2" t="s">
        <v>83</v>
      </c>
      <c r="D1204" s="2" t="s">
        <v>72</v>
      </c>
      <c r="E1204" s="2" t="s">
        <v>154</v>
      </c>
      <c r="F1204" s="2">
        <v>0.63304698885732724</v>
      </c>
      <c r="G1204" s="2" t="str">
        <f>Table1_1[[#This Row],[Country Name]]&amp;"|"&amp;Table1_1[[#This Row],[Series Name]]&amp;"|"&amp;Table1_1[[#This Row],[Years]]</f>
        <v>United Kingdom|Official exchange rate (LCU per US$, period average)|2012</v>
      </c>
    </row>
    <row r="1205" spans="1:7" x14ac:dyDescent="0.3">
      <c r="A1205" s="2" t="s">
        <v>21</v>
      </c>
      <c r="B1205" s="2" t="s">
        <v>75</v>
      </c>
      <c r="C1205" s="2" t="s">
        <v>83</v>
      </c>
      <c r="D1205" s="2" t="s">
        <v>72</v>
      </c>
      <c r="E1205" s="2" t="s">
        <v>155</v>
      </c>
      <c r="F1205" s="2">
        <v>0.63966057761347683</v>
      </c>
      <c r="G1205" s="2" t="str">
        <f>Table1_1[[#This Row],[Country Name]]&amp;"|"&amp;Table1_1[[#This Row],[Series Name]]&amp;"|"&amp;Table1_1[[#This Row],[Years]]</f>
        <v>United Kingdom|Official exchange rate (LCU per US$, period average)|2013</v>
      </c>
    </row>
    <row r="1206" spans="1:7" x14ac:dyDescent="0.3">
      <c r="A1206" s="2" t="s">
        <v>21</v>
      </c>
      <c r="B1206" s="2" t="s">
        <v>75</v>
      </c>
      <c r="C1206" s="2" t="s">
        <v>83</v>
      </c>
      <c r="D1206" s="2" t="s">
        <v>72</v>
      </c>
      <c r="E1206" s="2" t="s">
        <v>156</v>
      </c>
      <c r="F1206" s="2">
        <v>0.60772962687825505</v>
      </c>
      <c r="G1206" s="2" t="str">
        <f>Table1_1[[#This Row],[Country Name]]&amp;"|"&amp;Table1_1[[#This Row],[Series Name]]&amp;"|"&amp;Table1_1[[#This Row],[Years]]</f>
        <v>United Kingdom|Official exchange rate (LCU per US$, period average)|2014</v>
      </c>
    </row>
    <row r="1207" spans="1:7" x14ac:dyDescent="0.3">
      <c r="A1207" s="2" t="s">
        <v>21</v>
      </c>
      <c r="B1207" s="2" t="s">
        <v>75</v>
      </c>
      <c r="C1207" s="2" t="s">
        <v>83</v>
      </c>
      <c r="D1207" s="2" t="s">
        <v>72</v>
      </c>
      <c r="E1207" s="2" t="s">
        <v>157</v>
      </c>
      <c r="F1207" s="2">
        <v>0.65454547893142601</v>
      </c>
      <c r="G1207" s="2" t="str">
        <f>Table1_1[[#This Row],[Country Name]]&amp;"|"&amp;Table1_1[[#This Row],[Series Name]]&amp;"|"&amp;Table1_1[[#This Row],[Years]]</f>
        <v>United Kingdom|Official exchange rate (LCU per US$, period average)|2015</v>
      </c>
    </row>
    <row r="1208" spans="1:7" x14ac:dyDescent="0.3">
      <c r="A1208" s="2" t="s">
        <v>21</v>
      </c>
      <c r="B1208" s="2" t="s">
        <v>75</v>
      </c>
      <c r="C1208" s="2" t="s">
        <v>83</v>
      </c>
      <c r="D1208" s="2" t="s">
        <v>72</v>
      </c>
      <c r="E1208" s="2" t="s">
        <v>158</v>
      </c>
      <c r="F1208" s="2">
        <v>0.74063446369708419</v>
      </c>
      <c r="G1208" s="2" t="str">
        <f>Table1_1[[#This Row],[Country Name]]&amp;"|"&amp;Table1_1[[#This Row],[Series Name]]&amp;"|"&amp;Table1_1[[#This Row],[Years]]</f>
        <v>United Kingdom|Official exchange rate (LCU per US$, period average)|2016</v>
      </c>
    </row>
    <row r="1209" spans="1:7" x14ac:dyDescent="0.3">
      <c r="A1209" s="2" t="s">
        <v>21</v>
      </c>
      <c r="B1209" s="2" t="s">
        <v>75</v>
      </c>
      <c r="C1209" s="2" t="s">
        <v>83</v>
      </c>
      <c r="D1209" s="2" t="s">
        <v>72</v>
      </c>
      <c r="E1209" s="2" t="s">
        <v>159</v>
      </c>
      <c r="F1209" s="2">
        <v>0.77697668234412254</v>
      </c>
      <c r="G1209" s="2" t="str">
        <f>Table1_1[[#This Row],[Country Name]]&amp;"|"&amp;Table1_1[[#This Row],[Series Name]]&amp;"|"&amp;Table1_1[[#This Row],[Years]]</f>
        <v>United Kingdom|Official exchange rate (LCU per US$, period average)|2017</v>
      </c>
    </row>
    <row r="1210" spans="1:7" x14ac:dyDescent="0.3">
      <c r="A1210" s="2" t="s">
        <v>21</v>
      </c>
      <c r="B1210" s="2" t="s">
        <v>75</v>
      </c>
      <c r="C1210" s="2" t="s">
        <v>83</v>
      </c>
      <c r="D1210" s="2" t="s">
        <v>72</v>
      </c>
      <c r="E1210" s="2" t="s">
        <v>160</v>
      </c>
      <c r="F1210" s="2">
        <v>0.74953154025984681</v>
      </c>
      <c r="G1210" s="2" t="str">
        <f>Table1_1[[#This Row],[Country Name]]&amp;"|"&amp;Table1_1[[#This Row],[Series Name]]&amp;"|"&amp;Table1_1[[#This Row],[Years]]</f>
        <v>United Kingdom|Official exchange rate (LCU per US$, period average)|2018</v>
      </c>
    </row>
    <row r="1211" spans="1:7" x14ac:dyDescent="0.3">
      <c r="A1211" s="2" t="s">
        <v>21</v>
      </c>
      <c r="B1211" s="2" t="s">
        <v>75</v>
      </c>
      <c r="C1211" s="2" t="s">
        <v>83</v>
      </c>
      <c r="D1211" s="2" t="s">
        <v>72</v>
      </c>
      <c r="E1211" s="2" t="s">
        <v>161</v>
      </c>
      <c r="F1211" s="2">
        <v>0.78344511001192896</v>
      </c>
      <c r="G1211" s="2" t="str">
        <f>Table1_1[[#This Row],[Country Name]]&amp;"|"&amp;Table1_1[[#This Row],[Series Name]]&amp;"|"&amp;Table1_1[[#This Row],[Years]]</f>
        <v>United Kingdom|Official exchange rate (LCU per US$, period average)|2019</v>
      </c>
    </row>
    <row r="1212" spans="1:7" x14ac:dyDescent="0.3">
      <c r="A1212" s="2" t="s">
        <v>21</v>
      </c>
      <c r="B1212" s="2" t="s">
        <v>75</v>
      </c>
      <c r="C1212" s="2" t="s">
        <v>83</v>
      </c>
      <c r="D1212" s="2" t="s">
        <v>72</v>
      </c>
      <c r="E1212" s="2" t="s">
        <v>162</v>
      </c>
      <c r="F1212" s="2">
        <v>0.77999957669715325</v>
      </c>
      <c r="G1212" s="2" t="str">
        <f>Table1_1[[#This Row],[Country Name]]&amp;"|"&amp;Table1_1[[#This Row],[Series Name]]&amp;"|"&amp;Table1_1[[#This Row],[Years]]</f>
        <v>United Kingdom|Official exchange rate (LCU per US$, period average)|2020</v>
      </c>
    </row>
    <row r="1213" spans="1:7" x14ac:dyDescent="0.3">
      <c r="A1213" s="2" t="s">
        <v>21</v>
      </c>
      <c r="B1213" s="2" t="s">
        <v>75</v>
      </c>
      <c r="C1213" s="2" t="s">
        <v>83</v>
      </c>
      <c r="D1213" s="2" t="s">
        <v>72</v>
      </c>
      <c r="E1213" s="2" t="s">
        <v>163</v>
      </c>
      <c r="F1213" s="2">
        <v>0.7270649446883225</v>
      </c>
      <c r="G1213" s="2" t="str">
        <f>Table1_1[[#This Row],[Country Name]]&amp;"|"&amp;Table1_1[[#This Row],[Series Name]]&amp;"|"&amp;Table1_1[[#This Row],[Years]]</f>
        <v>United Kingdom|Official exchange rate (LCU per US$, period average)|2021</v>
      </c>
    </row>
    <row r="1214" spans="1:7" x14ac:dyDescent="0.3">
      <c r="A1214" s="2" t="s">
        <v>21</v>
      </c>
      <c r="B1214" s="2" t="s">
        <v>75</v>
      </c>
      <c r="C1214" s="2" t="s">
        <v>83</v>
      </c>
      <c r="D1214" s="2" t="s">
        <v>72</v>
      </c>
      <c r="E1214" s="2" t="s">
        <v>164</v>
      </c>
      <c r="F1214" s="2">
        <v>0.81130171582777322</v>
      </c>
      <c r="G1214" s="2" t="str">
        <f>Table1_1[[#This Row],[Country Name]]&amp;"|"&amp;Table1_1[[#This Row],[Series Name]]&amp;"|"&amp;Table1_1[[#This Row],[Years]]</f>
        <v>United Kingdom|Official exchange rate (LCU per US$, period average)|2022</v>
      </c>
    </row>
    <row r="1215" spans="1:7" x14ac:dyDescent="0.3">
      <c r="A1215" s="2" t="s">
        <v>21</v>
      </c>
      <c r="B1215" s="2" t="s">
        <v>75</v>
      </c>
      <c r="C1215" s="2" t="s">
        <v>83</v>
      </c>
      <c r="D1215" s="2" t="s">
        <v>72</v>
      </c>
      <c r="E1215" s="2" t="s">
        <v>165</v>
      </c>
      <c r="F1215" s="2">
        <v>0.8045389067343528</v>
      </c>
      <c r="G1215" s="2" t="str">
        <f>Table1_1[[#This Row],[Country Name]]&amp;"|"&amp;Table1_1[[#This Row],[Series Name]]&amp;"|"&amp;Table1_1[[#This Row],[Years]]</f>
        <v>United Kingdom|Official exchange rate (LCU per US$, period average)|2023</v>
      </c>
    </row>
    <row r="1216" spans="1:7" x14ac:dyDescent="0.3">
      <c r="A1216" s="2" t="s">
        <v>21</v>
      </c>
      <c r="B1216" s="2" t="s">
        <v>75</v>
      </c>
      <c r="C1216" s="2" t="s">
        <v>83</v>
      </c>
      <c r="D1216" s="2" t="s">
        <v>72</v>
      </c>
      <c r="E1216" s="2" t="s">
        <v>166</v>
      </c>
      <c r="F1216" s="2">
        <v>0.78241458098626182</v>
      </c>
      <c r="G1216" s="2" t="str">
        <f>Table1_1[[#This Row],[Country Name]]&amp;"|"&amp;Table1_1[[#This Row],[Series Name]]&amp;"|"&amp;Table1_1[[#This Row],[Years]]</f>
        <v>United Kingdom|Official exchange rate (LCU per US$, period average)|2024</v>
      </c>
    </row>
    <row r="1217" spans="1:7" x14ac:dyDescent="0.3">
      <c r="A1217" s="2" t="s">
        <v>21</v>
      </c>
      <c r="B1217" s="2" t="s">
        <v>75</v>
      </c>
      <c r="C1217" s="2" t="s">
        <v>83</v>
      </c>
      <c r="D1217" s="2" t="s">
        <v>72</v>
      </c>
      <c r="E1217" s="2" t="s">
        <v>167</v>
      </c>
      <c r="F1217" s="2">
        <v>0.75947395733860779</v>
      </c>
      <c r="G1217" s="2" t="str">
        <f>Table1_1[[#This Row],[Country Name]]&amp;"|"&amp;Table1_1[[#This Row],[Series Name]]&amp;"|"&amp;Table1_1[[#This Row],[Years]]</f>
        <v>United Kingdom|Official exchange rate (LCU per US$, period average)|2025</v>
      </c>
    </row>
    <row r="1218" spans="1:7" x14ac:dyDescent="0.3">
      <c r="A1218" s="2" t="s">
        <v>21</v>
      </c>
      <c r="B1218" s="2" t="s">
        <v>75</v>
      </c>
      <c r="C1218" s="2" t="s">
        <v>70</v>
      </c>
      <c r="D1218" s="2" t="s">
        <v>147</v>
      </c>
      <c r="E1218" s="2" t="s">
        <v>152</v>
      </c>
      <c r="F1218" s="2">
        <v>28.746366438735542</v>
      </c>
      <c r="G1218" s="2" t="str">
        <f>Table1_1[[#This Row],[Country Name]]&amp;"|"&amp;Table1_1[[#This Row],[Series Name]]&amp;"|"&amp;Table1_1[[#This Row],[Years]]</f>
        <v>United Kingdom|Exports of goods and services (% of GDP)|2010</v>
      </c>
    </row>
    <row r="1219" spans="1:7" x14ac:dyDescent="0.3">
      <c r="A1219" s="2" t="s">
        <v>21</v>
      </c>
      <c r="B1219" s="2" t="s">
        <v>75</v>
      </c>
      <c r="C1219" s="2" t="s">
        <v>70</v>
      </c>
      <c r="D1219" s="2" t="s">
        <v>147</v>
      </c>
      <c r="E1219" s="2" t="s">
        <v>153</v>
      </c>
      <c r="F1219" s="2">
        <v>31.264921898625403</v>
      </c>
      <c r="G1219" s="2" t="str">
        <f>Table1_1[[#This Row],[Country Name]]&amp;"|"&amp;Table1_1[[#This Row],[Series Name]]&amp;"|"&amp;Table1_1[[#This Row],[Years]]</f>
        <v>United Kingdom|Exports of goods and services (% of GDP)|2011</v>
      </c>
    </row>
    <row r="1220" spans="1:7" x14ac:dyDescent="0.3">
      <c r="A1220" s="2" t="s">
        <v>21</v>
      </c>
      <c r="B1220" s="2" t="s">
        <v>75</v>
      </c>
      <c r="C1220" s="2" t="s">
        <v>70</v>
      </c>
      <c r="D1220" s="2" t="s">
        <v>147</v>
      </c>
      <c r="E1220" s="2" t="s">
        <v>154</v>
      </c>
      <c r="F1220" s="2">
        <v>30.499538830045513</v>
      </c>
      <c r="G1220" s="2" t="str">
        <f>Table1_1[[#This Row],[Country Name]]&amp;"|"&amp;Table1_1[[#This Row],[Series Name]]&amp;"|"&amp;Table1_1[[#This Row],[Years]]</f>
        <v>United Kingdom|Exports of goods and services (% of GDP)|2012</v>
      </c>
    </row>
    <row r="1221" spans="1:7" x14ac:dyDescent="0.3">
      <c r="A1221" s="2" t="s">
        <v>21</v>
      </c>
      <c r="B1221" s="2" t="s">
        <v>75</v>
      </c>
      <c r="C1221" s="2" t="s">
        <v>70</v>
      </c>
      <c r="D1221" s="2" t="s">
        <v>147</v>
      </c>
      <c r="E1221" s="2" t="s">
        <v>155</v>
      </c>
      <c r="F1221" s="2">
        <v>30.207616015453819</v>
      </c>
      <c r="G1221" s="2" t="str">
        <f>Table1_1[[#This Row],[Country Name]]&amp;"|"&amp;Table1_1[[#This Row],[Series Name]]&amp;"|"&amp;Table1_1[[#This Row],[Years]]</f>
        <v>United Kingdom|Exports of goods and services (% of GDP)|2013</v>
      </c>
    </row>
    <row r="1222" spans="1:7" x14ac:dyDescent="0.3">
      <c r="A1222" s="2" t="s">
        <v>21</v>
      </c>
      <c r="B1222" s="2" t="s">
        <v>75</v>
      </c>
      <c r="C1222" s="2" t="s">
        <v>70</v>
      </c>
      <c r="D1222" s="2" t="s">
        <v>147</v>
      </c>
      <c r="E1222" s="2" t="s">
        <v>156</v>
      </c>
      <c r="F1222" s="2">
        <v>28.532009006616299</v>
      </c>
      <c r="G1222" s="2" t="str">
        <f>Table1_1[[#This Row],[Country Name]]&amp;"|"&amp;Table1_1[[#This Row],[Series Name]]&amp;"|"&amp;Table1_1[[#This Row],[Years]]</f>
        <v>United Kingdom|Exports of goods and services (% of GDP)|2014</v>
      </c>
    </row>
    <row r="1223" spans="1:7" x14ac:dyDescent="0.3">
      <c r="A1223" s="2" t="s">
        <v>21</v>
      </c>
      <c r="B1223" s="2" t="s">
        <v>75</v>
      </c>
      <c r="C1223" s="2" t="s">
        <v>70</v>
      </c>
      <c r="D1223" s="2" t="s">
        <v>147</v>
      </c>
      <c r="E1223" s="2" t="s">
        <v>157</v>
      </c>
      <c r="F1223" s="2">
        <v>27.879073617646327</v>
      </c>
      <c r="G1223" s="2" t="str">
        <f>Table1_1[[#This Row],[Country Name]]&amp;"|"&amp;Table1_1[[#This Row],[Series Name]]&amp;"|"&amp;Table1_1[[#This Row],[Years]]</f>
        <v>United Kingdom|Exports of goods and services (% of GDP)|2015</v>
      </c>
    </row>
    <row r="1224" spans="1:7" x14ac:dyDescent="0.3">
      <c r="A1224" s="2" t="s">
        <v>21</v>
      </c>
      <c r="B1224" s="2" t="s">
        <v>75</v>
      </c>
      <c r="C1224" s="2" t="s">
        <v>70</v>
      </c>
      <c r="D1224" s="2" t="s">
        <v>147</v>
      </c>
      <c r="E1224" s="2" t="s">
        <v>158</v>
      </c>
      <c r="F1224" s="2">
        <v>29.061556150252777</v>
      </c>
      <c r="G1224" s="2" t="str">
        <f>Table1_1[[#This Row],[Country Name]]&amp;"|"&amp;Table1_1[[#This Row],[Series Name]]&amp;"|"&amp;Table1_1[[#This Row],[Years]]</f>
        <v>United Kingdom|Exports of goods and services (% of GDP)|2016</v>
      </c>
    </row>
    <row r="1225" spans="1:7" x14ac:dyDescent="0.3">
      <c r="A1225" s="2" t="s">
        <v>21</v>
      </c>
      <c r="B1225" s="2" t="s">
        <v>75</v>
      </c>
      <c r="C1225" s="2" t="s">
        <v>70</v>
      </c>
      <c r="D1225" s="2" t="s">
        <v>147</v>
      </c>
      <c r="E1225" s="2" t="s">
        <v>159</v>
      </c>
      <c r="F1225" s="2">
        <v>30.973831096564886</v>
      </c>
      <c r="G1225" s="2" t="str">
        <f>Table1_1[[#This Row],[Country Name]]&amp;"|"&amp;Table1_1[[#This Row],[Series Name]]&amp;"|"&amp;Table1_1[[#This Row],[Years]]</f>
        <v>United Kingdom|Exports of goods and services (% of GDP)|2017</v>
      </c>
    </row>
    <row r="1226" spans="1:7" x14ac:dyDescent="0.3">
      <c r="A1226" s="2" t="s">
        <v>21</v>
      </c>
      <c r="B1226" s="2" t="s">
        <v>75</v>
      </c>
      <c r="C1226" s="2" t="s">
        <v>70</v>
      </c>
      <c r="D1226" s="2" t="s">
        <v>147</v>
      </c>
      <c r="E1226" s="2" t="s">
        <v>160</v>
      </c>
      <c r="F1226" s="2">
        <v>31.854534000687984</v>
      </c>
      <c r="G1226" s="2" t="str">
        <f>Table1_1[[#This Row],[Country Name]]&amp;"|"&amp;Table1_1[[#This Row],[Series Name]]&amp;"|"&amp;Table1_1[[#This Row],[Years]]</f>
        <v>United Kingdom|Exports of goods and services (% of GDP)|2018</v>
      </c>
    </row>
    <row r="1227" spans="1:7" x14ac:dyDescent="0.3">
      <c r="A1227" s="2" t="s">
        <v>21</v>
      </c>
      <c r="B1227" s="2" t="s">
        <v>75</v>
      </c>
      <c r="C1227" s="2" t="s">
        <v>70</v>
      </c>
      <c r="D1227" s="2" t="s">
        <v>147</v>
      </c>
      <c r="E1227" s="2" t="s">
        <v>161</v>
      </c>
      <c r="F1227" s="2">
        <v>31.902860280315547</v>
      </c>
      <c r="G1227" s="2" t="str">
        <f>Table1_1[[#This Row],[Country Name]]&amp;"|"&amp;Table1_1[[#This Row],[Series Name]]&amp;"|"&amp;Table1_1[[#This Row],[Years]]</f>
        <v>United Kingdom|Exports of goods and services (% of GDP)|2019</v>
      </c>
    </row>
    <row r="1228" spans="1:7" x14ac:dyDescent="0.3">
      <c r="A1228" s="2" t="s">
        <v>21</v>
      </c>
      <c r="B1228" s="2" t="s">
        <v>75</v>
      </c>
      <c r="C1228" s="2" t="s">
        <v>70</v>
      </c>
      <c r="D1228" s="2" t="s">
        <v>147</v>
      </c>
      <c r="E1228" s="2" t="s">
        <v>162</v>
      </c>
      <c r="F1228" s="2">
        <v>29.948652057682896</v>
      </c>
      <c r="G1228" s="2" t="str">
        <f>Table1_1[[#This Row],[Country Name]]&amp;"|"&amp;Table1_1[[#This Row],[Series Name]]&amp;"|"&amp;Table1_1[[#This Row],[Years]]</f>
        <v>United Kingdom|Exports of goods and services (% of GDP)|2020</v>
      </c>
    </row>
    <row r="1229" spans="1:7" x14ac:dyDescent="0.3">
      <c r="A1229" s="2" t="s">
        <v>21</v>
      </c>
      <c r="B1229" s="2" t="s">
        <v>75</v>
      </c>
      <c r="C1229" s="2" t="s">
        <v>70</v>
      </c>
      <c r="D1229" s="2" t="s">
        <v>147</v>
      </c>
      <c r="E1229" s="2" t="s">
        <v>163</v>
      </c>
      <c r="F1229" s="2">
        <v>29.289407108770494</v>
      </c>
      <c r="G1229" s="2" t="str">
        <f>Table1_1[[#This Row],[Country Name]]&amp;"|"&amp;Table1_1[[#This Row],[Series Name]]&amp;"|"&amp;Table1_1[[#This Row],[Years]]</f>
        <v>United Kingdom|Exports of goods and services (% of GDP)|2021</v>
      </c>
    </row>
    <row r="1230" spans="1:7" x14ac:dyDescent="0.3">
      <c r="A1230" s="2" t="s">
        <v>21</v>
      </c>
      <c r="B1230" s="2" t="s">
        <v>75</v>
      </c>
      <c r="C1230" s="2" t="s">
        <v>70</v>
      </c>
      <c r="D1230" s="2" t="s">
        <v>147</v>
      </c>
      <c r="E1230" s="2" t="s">
        <v>164</v>
      </c>
      <c r="F1230" s="2">
        <v>34.061928383706928</v>
      </c>
      <c r="G1230" s="2" t="str">
        <f>Table1_1[[#This Row],[Country Name]]&amp;"|"&amp;Table1_1[[#This Row],[Series Name]]&amp;"|"&amp;Table1_1[[#This Row],[Years]]</f>
        <v>United Kingdom|Exports of goods and services (% of GDP)|2022</v>
      </c>
    </row>
    <row r="1231" spans="1:7" x14ac:dyDescent="0.3">
      <c r="A1231" s="2" t="s">
        <v>21</v>
      </c>
      <c r="B1231" s="2" t="s">
        <v>75</v>
      </c>
      <c r="C1231" s="2" t="s">
        <v>70</v>
      </c>
      <c r="D1231" s="2" t="s">
        <v>147</v>
      </c>
      <c r="E1231" s="2" t="s">
        <v>165</v>
      </c>
      <c r="F1231" s="2">
        <v>31.912269762993773</v>
      </c>
      <c r="G1231" s="2" t="str">
        <f>Table1_1[[#This Row],[Country Name]]&amp;"|"&amp;Table1_1[[#This Row],[Series Name]]&amp;"|"&amp;Table1_1[[#This Row],[Years]]</f>
        <v>United Kingdom|Exports of goods and services (% of GDP)|2023</v>
      </c>
    </row>
    <row r="1232" spans="1:7" x14ac:dyDescent="0.3">
      <c r="A1232" s="2" t="s">
        <v>21</v>
      </c>
      <c r="B1232" s="2" t="s">
        <v>75</v>
      </c>
      <c r="C1232" s="2" t="s">
        <v>70</v>
      </c>
      <c r="D1232" s="2" t="s">
        <v>147</v>
      </c>
      <c r="E1232" s="2" t="s">
        <v>166</v>
      </c>
      <c r="F1232" s="2">
        <v>31.056143573937451</v>
      </c>
      <c r="G1232" s="2" t="str">
        <f>Table1_1[[#This Row],[Country Name]]&amp;"|"&amp;Table1_1[[#This Row],[Series Name]]&amp;"|"&amp;Table1_1[[#This Row],[Years]]</f>
        <v>United Kingdom|Exports of goods and services (% of GDP)|2024</v>
      </c>
    </row>
    <row r="1233" spans="1:7" x14ac:dyDescent="0.3">
      <c r="A1233" s="2" t="s">
        <v>21</v>
      </c>
      <c r="B1233" s="2" t="s">
        <v>75</v>
      </c>
      <c r="C1233" s="2" t="s">
        <v>70</v>
      </c>
      <c r="D1233" s="2" t="s">
        <v>147</v>
      </c>
      <c r="E1233" s="2" t="s">
        <v>167</v>
      </c>
      <c r="F1233" s="2">
        <v>30.596958216181598</v>
      </c>
      <c r="G1233" s="2" t="str">
        <f>Table1_1[[#This Row],[Country Name]]&amp;"|"&amp;Table1_1[[#This Row],[Series Name]]&amp;"|"&amp;Table1_1[[#This Row],[Years]]</f>
        <v>United Kingdom|Exports of goods and services (% of GDP)|2025</v>
      </c>
    </row>
    <row r="1234" spans="1:7" x14ac:dyDescent="0.3">
      <c r="A1234" s="2" t="s">
        <v>21</v>
      </c>
      <c r="B1234" s="2" t="s">
        <v>75</v>
      </c>
      <c r="C1234" s="2" t="s">
        <v>56</v>
      </c>
      <c r="D1234" s="2" t="s">
        <v>14</v>
      </c>
      <c r="E1234" s="2" t="s">
        <v>152</v>
      </c>
      <c r="F1234" s="2">
        <v>30.304813784046551</v>
      </c>
      <c r="G1234" s="2" t="str">
        <f>Table1_1[[#This Row],[Country Name]]&amp;"|"&amp;Table1_1[[#This Row],[Series Name]]&amp;"|"&amp;Table1_1[[#This Row],[Years]]</f>
        <v>United Kingdom|Imports of goods and services (% of GDP)|2010</v>
      </c>
    </row>
    <row r="1235" spans="1:7" x14ac:dyDescent="0.3">
      <c r="A1235" s="2" t="s">
        <v>21</v>
      </c>
      <c r="B1235" s="2" t="s">
        <v>75</v>
      </c>
      <c r="C1235" s="2" t="s">
        <v>56</v>
      </c>
      <c r="D1235" s="2" t="s">
        <v>14</v>
      </c>
      <c r="E1235" s="2" t="s">
        <v>153</v>
      </c>
      <c r="F1235" s="2">
        <v>32.059139672264649</v>
      </c>
      <c r="G1235" s="2" t="str">
        <f>Table1_1[[#This Row],[Country Name]]&amp;"|"&amp;Table1_1[[#This Row],[Series Name]]&amp;"|"&amp;Table1_1[[#This Row],[Years]]</f>
        <v>United Kingdom|Imports of goods and services (% of GDP)|2011</v>
      </c>
    </row>
    <row r="1236" spans="1:7" x14ac:dyDescent="0.3">
      <c r="A1236" s="2" t="s">
        <v>21</v>
      </c>
      <c r="B1236" s="2" t="s">
        <v>75</v>
      </c>
      <c r="C1236" s="2" t="s">
        <v>56</v>
      </c>
      <c r="D1236" s="2" t="s">
        <v>14</v>
      </c>
      <c r="E1236" s="2" t="s">
        <v>154</v>
      </c>
      <c r="F1236" s="2">
        <v>31.469331617208031</v>
      </c>
      <c r="G1236" s="2" t="str">
        <f>Table1_1[[#This Row],[Country Name]]&amp;"|"&amp;Table1_1[[#This Row],[Series Name]]&amp;"|"&amp;Table1_1[[#This Row],[Years]]</f>
        <v>United Kingdom|Imports of goods and services (% of GDP)|2012</v>
      </c>
    </row>
    <row r="1237" spans="1:7" x14ac:dyDescent="0.3">
      <c r="A1237" s="2" t="s">
        <v>21</v>
      </c>
      <c r="B1237" s="2" t="s">
        <v>75</v>
      </c>
      <c r="C1237" s="2" t="s">
        <v>56</v>
      </c>
      <c r="D1237" s="2" t="s">
        <v>14</v>
      </c>
      <c r="E1237" s="2" t="s">
        <v>155</v>
      </c>
      <c r="F1237" s="2">
        <v>31.511923500004475</v>
      </c>
      <c r="G1237" s="2" t="str">
        <f>Table1_1[[#This Row],[Country Name]]&amp;"|"&amp;Table1_1[[#This Row],[Series Name]]&amp;"|"&amp;Table1_1[[#This Row],[Years]]</f>
        <v>United Kingdom|Imports of goods and services (% of GDP)|2013</v>
      </c>
    </row>
    <row r="1238" spans="1:7" x14ac:dyDescent="0.3">
      <c r="A1238" s="2" t="s">
        <v>21</v>
      </c>
      <c r="B1238" s="2" t="s">
        <v>75</v>
      </c>
      <c r="C1238" s="2" t="s">
        <v>56</v>
      </c>
      <c r="D1238" s="2" t="s">
        <v>14</v>
      </c>
      <c r="E1238" s="2" t="s">
        <v>156</v>
      </c>
      <c r="F1238" s="2">
        <v>30.289013826713301</v>
      </c>
      <c r="G1238" s="2" t="str">
        <f>Table1_1[[#This Row],[Country Name]]&amp;"|"&amp;Table1_1[[#This Row],[Series Name]]&amp;"|"&amp;Table1_1[[#This Row],[Years]]</f>
        <v>United Kingdom|Imports of goods and services (% of GDP)|2014</v>
      </c>
    </row>
    <row r="1239" spans="1:7" x14ac:dyDescent="0.3">
      <c r="A1239" s="2" t="s">
        <v>21</v>
      </c>
      <c r="B1239" s="2" t="s">
        <v>75</v>
      </c>
      <c r="C1239" s="2" t="s">
        <v>56</v>
      </c>
      <c r="D1239" s="2" t="s">
        <v>14</v>
      </c>
      <c r="E1239" s="2" t="s">
        <v>157</v>
      </c>
      <c r="F1239" s="2">
        <v>29.245970987792631</v>
      </c>
      <c r="G1239" s="2" t="str">
        <f>Table1_1[[#This Row],[Country Name]]&amp;"|"&amp;Table1_1[[#This Row],[Series Name]]&amp;"|"&amp;Table1_1[[#This Row],[Years]]</f>
        <v>United Kingdom|Imports of goods and services (% of GDP)|2015</v>
      </c>
    </row>
    <row r="1240" spans="1:7" x14ac:dyDescent="0.3">
      <c r="A1240" s="2" t="s">
        <v>21</v>
      </c>
      <c r="B1240" s="2" t="s">
        <v>75</v>
      </c>
      <c r="C1240" s="2" t="s">
        <v>56</v>
      </c>
      <c r="D1240" s="2" t="s">
        <v>14</v>
      </c>
      <c r="E1240" s="2" t="s">
        <v>158</v>
      </c>
      <c r="F1240" s="2">
        <v>30.777975363573105</v>
      </c>
      <c r="G1240" s="2" t="str">
        <f>Table1_1[[#This Row],[Country Name]]&amp;"|"&amp;Table1_1[[#This Row],[Series Name]]&amp;"|"&amp;Table1_1[[#This Row],[Years]]</f>
        <v>United Kingdom|Imports of goods and services (% of GDP)|2016</v>
      </c>
    </row>
    <row r="1241" spans="1:7" x14ac:dyDescent="0.3">
      <c r="A1241" s="2" t="s">
        <v>21</v>
      </c>
      <c r="B1241" s="2" t="s">
        <v>75</v>
      </c>
      <c r="C1241" s="2" t="s">
        <v>56</v>
      </c>
      <c r="D1241" s="2" t="s">
        <v>14</v>
      </c>
      <c r="E1241" s="2" t="s">
        <v>159</v>
      </c>
      <c r="F1241" s="2">
        <v>32.216093479850969</v>
      </c>
      <c r="G1241" s="2" t="str">
        <f>Table1_1[[#This Row],[Country Name]]&amp;"|"&amp;Table1_1[[#This Row],[Series Name]]&amp;"|"&amp;Table1_1[[#This Row],[Years]]</f>
        <v>United Kingdom|Imports of goods and services (% of GDP)|2017</v>
      </c>
    </row>
    <row r="1242" spans="1:7" x14ac:dyDescent="0.3">
      <c r="A1242" s="2" t="s">
        <v>21</v>
      </c>
      <c r="B1242" s="2" t="s">
        <v>75</v>
      </c>
      <c r="C1242" s="2" t="s">
        <v>56</v>
      </c>
      <c r="D1242" s="2" t="s">
        <v>14</v>
      </c>
      <c r="E1242" s="2" t="s">
        <v>160</v>
      </c>
      <c r="F1242" s="2">
        <v>33.055238195232093</v>
      </c>
      <c r="G1242" s="2" t="str">
        <f>Table1_1[[#This Row],[Country Name]]&amp;"|"&amp;Table1_1[[#This Row],[Series Name]]&amp;"|"&amp;Table1_1[[#This Row],[Years]]</f>
        <v>United Kingdom|Imports of goods and services (% of GDP)|2018</v>
      </c>
    </row>
    <row r="1243" spans="1:7" x14ac:dyDescent="0.3">
      <c r="A1243" s="2" t="s">
        <v>21</v>
      </c>
      <c r="B1243" s="2" t="s">
        <v>75</v>
      </c>
      <c r="C1243" s="2" t="s">
        <v>56</v>
      </c>
      <c r="D1243" s="2" t="s">
        <v>14</v>
      </c>
      <c r="E1243" s="2" t="s">
        <v>161</v>
      </c>
      <c r="F1243" s="2">
        <v>33.100706137389864</v>
      </c>
      <c r="G1243" s="2" t="str">
        <f>Table1_1[[#This Row],[Country Name]]&amp;"|"&amp;Table1_1[[#This Row],[Series Name]]&amp;"|"&amp;Table1_1[[#This Row],[Years]]</f>
        <v>United Kingdom|Imports of goods and services (% of GDP)|2019</v>
      </c>
    </row>
    <row r="1244" spans="1:7" x14ac:dyDescent="0.3">
      <c r="A1244" s="2" t="s">
        <v>21</v>
      </c>
      <c r="B1244" s="2" t="s">
        <v>75</v>
      </c>
      <c r="C1244" s="2" t="s">
        <v>56</v>
      </c>
      <c r="D1244" s="2" t="s">
        <v>14</v>
      </c>
      <c r="E1244" s="2" t="s">
        <v>162</v>
      </c>
      <c r="F1244" s="2">
        <v>29.211237245378214</v>
      </c>
      <c r="G1244" s="2" t="str">
        <f>Table1_1[[#This Row],[Country Name]]&amp;"|"&amp;Table1_1[[#This Row],[Series Name]]&amp;"|"&amp;Table1_1[[#This Row],[Years]]</f>
        <v>United Kingdom|Imports of goods and services (% of GDP)|2020</v>
      </c>
    </row>
    <row r="1245" spans="1:7" x14ac:dyDescent="0.3">
      <c r="A1245" s="2" t="s">
        <v>21</v>
      </c>
      <c r="B1245" s="2" t="s">
        <v>75</v>
      </c>
      <c r="C1245" s="2" t="s">
        <v>56</v>
      </c>
      <c r="D1245" s="2" t="s">
        <v>14</v>
      </c>
      <c r="E1245" s="2" t="s">
        <v>163</v>
      </c>
      <c r="F1245" s="2">
        <v>29.248979184139511</v>
      </c>
      <c r="G1245" s="2" t="str">
        <f>Table1_1[[#This Row],[Country Name]]&amp;"|"&amp;Table1_1[[#This Row],[Series Name]]&amp;"|"&amp;Table1_1[[#This Row],[Years]]</f>
        <v>United Kingdom|Imports of goods and services (% of GDP)|2021</v>
      </c>
    </row>
    <row r="1246" spans="1:7" x14ac:dyDescent="0.3">
      <c r="A1246" s="2" t="s">
        <v>21</v>
      </c>
      <c r="B1246" s="2" t="s">
        <v>75</v>
      </c>
      <c r="C1246" s="2" t="s">
        <v>56</v>
      </c>
      <c r="D1246" s="2" t="s">
        <v>14</v>
      </c>
      <c r="E1246" s="2" t="s">
        <v>164</v>
      </c>
      <c r="F1246" s="2">
        <v>35.13699805769118</v>
      </c>
      <c r="G1246" s="2" t="str">
        <f>Table1_1[[#This Row],[Country Name]]&amp;"|"&amp;Table1_1[[#This Row],[Series Name]]&amp;"|"&amp;Table1_1[[#This Row],[Years]]</f>
        <v>United Kingdom|Imports of goods and services (% of GDP)|2022</v>
      </c>
    </row>
    <row r="1247" spans="1:7" x14ac:dyDescent="0.3">
      <c r="A1247" s="2" t="s">
        <v>21</v>
      </c>
      <c r="B1247" s="2" t="s">
        <v>75</v>
      </c>
      <c r="C1247" s="2" t="s">
        <v>56</v>
      </c>
      <c r="D1247" s="2" t="s">
        <v>14</v>
      </c>
      <c r="E1247" s="2" t="s">
        <v>165</v>
      </c>
      <c r="F1247" s="2">
        <v>33.080114411786504</v>
      </c>
      <c r="G1247" s="2" t="str">
        <f>Table1_1[[#This Row],[Country Name]]&amp;"|"&amp;Table1_1[[#This Row],[Series Name]]&amp;"|"&amp;Table1_1[[#This Row],[Years]]</f>
        <v>United Kingdom|Imports of goods and services (% of GDP)|2023</v>
      </c>
    </row>
    <row r="1248" spans="1:7" x14ac:dyDescent="0.3">
      <c r="A1248" s="2" t="s">
        <v>21</v>
      </c>
      <c r="B1248" s="2" t="s">
        <v>75</v>
      </c>
      <c r="C1248" s="2" t="s">
        <v>56</v>
      </c>
      <c r="D1248" s="2" t="s">
        <v>14</v>
      </c>
      <c r="E1248" s="2" t="s">
        <v>166</v>
      </c>
      <c r="F1248" s="2">
        <v>31.782908470646497</v>
      </c>
      <c r="G1248" s="2" t="str">
        <f>Table1_1[[#This Row],[Country Name]]&amp;"|"&amp;Table1_1[[#This Row],[Series Name]]&amp;"|"&amp;Table1_1[[#This Row],[Years]]</f>
        <v>United Kingdom|Imports of goods and services (% of GDP)|2024</v>
      </c>
    </row>
    <row r="1249" spans="1:7" x14ac:dyDescent="0.3">
      <c r="A1249" s="2" t="s">
        <v>21</v>
      </c>
      <c r="B1249" s="2" t="s">
        <v>75</v>
      </c>
      <c r="C1249" s="2" t="s">
        <v>56</v>
      </c>
      <c r="D1249" s="2" t="s">
        <v>14</v>
      </c>
      <c r="E1249" s="2" t="s">
        <v>167</v>
      </c>
      <c r="F1249" s="2">
        <v>31.86037124723795</v>
      </c>
      <c r="G1249" s="2" t="str">
        <f>Table1_1[[#This Row],[Country Name]]&amp;"|"&amp;Table1_1[[#This Row],[Series Name]]&amp;"|"&amp;Table1_1[[#This Row],[Years]]</f>
        <v>United Kingdom|Imports of goods and services (% of GDP)|2025</v>
      </c>
    </row>
    <row r="1250" spans="1:7" x14ac:dyDescent="0.3">
      <c r="A1250" s="2" t="s">
        <v>21</v>
      </c>
      <c r="B1250" s="2" t="s">
        <v>75</v>
      </c>
      <c r="C1250" s="2" t="s">
        <v>13</v>
      </c>
      <c r="D1250" s="2" t="s">
        <v>123</v>
      </c>
      <c r="E1250" s="2" t="s">
        <v>152</v>
      </c>
      <c r="F1250" s="2">
        <v>66734551294.091301</v>
      </c>
      <c r="G1250" s="2" t="str">
        <f>Table1_1[[#This Row],[Country Name]]&amp;"|"&amp;Table1_1[[#This Row],[Series Name]]&amp;"|"&amp;Table1_1[[#This Row],[Years]]</f>
        <v>United Kingdom|Foreign direct investment, net inflows (BoP, current US$)|2010</v>
      </c>
    </row>
    <row r="1251" spans="1:7" x14ac:dyDescent="0.3">
      <c r="A1251" s="2" t="s">
        <v>21</v>
      </c>
      <c r="B1251" s="2" t="s">
        <v>75</v>
      </c>
      <c r="C1251" s="2" t="s">
        <v>13</v>
      </c>
      <c r="D1251" s="2" t="s">
        <v>123</v>
      </c>
      <c r="E1251" s="2" t="s">
        <v>153</v>
      </c>
      <c r="F1251" s="2">
        <v>27012050072.3452</v>
      </c>
      <c r="G1251" s="2" t="str">
        <f>Table1_1[[#This Row],[Country Name]]&amp;"|"&amp;Table1_1[[#This Row],[Series Name]]&amp;"|"&amp;Table1_1[[#This Row],[Years]]</f>
        <v>United Kingdom|Foreign direct investment, net inflows (BoP, current US$)|2011</v>
      </c>
    </row>
    <row r="1252" spans="1:7" x14ac:dyDescent="0.3">
      <c r="A1252" s="2" t="s">
        <v>21</v>
      </c>
      <c r="B1252" s="2" t="s">
        <v>75</v>
      </c>
      <c r="C1252" s="2" t="s">
        <v>13</v>
      </c>
      <c r="D1252" s="2" t="s">
        <v>123</v>
      </c>
      <c r="E1252" s="2" t="s">
        <v>154</v>
      </c>
      <c r="F1252" s="2">
        <v>46750789727.726303</v>
      </c>
      <c r="G1252" s="2" t="str">
        <f>Table1_1[[#This Row],[Country Name]]&amp;"|"&amp;Table1_1[[#This Row],[Series Name]]&amp;"|"&amp;Table1_1[[#This Row],[Years]]</f>
        <v>United Kingdom|Foreign direct investment, net inflows (BoP, current US$)|2012</v>
      </c>
    </row>
    <row r="1253" spans="1:7" x14ac:dyDescent="0.3">
      <c r="A1253" s="2" t="s">
        <v>21</v>
      </c>
      <c r="B1253" s="2" t="s">
        <v>75</v>
      </c>
      <c r="C1253" s="2" t="s">
        <v>13</v>
      </c>
      <c r="D1253" s="2" t="s">
        <v>123</v>
      </c>
      <c r="E1253" s="2" t="s">
        <v>155</v>
      </c>
      <c r="F1253" s="2">
        <v>54473175400.241501</v>
      </c>
      <c r="G1253" s="2" t="str">
        <f>Table1_1[[#This Row],[Country Name]]&amp;"|"&amp;Table1_1[[#This Row],[Series Name]]&amp;"|"&amp;Table1_1[[#This Row],[Years]]</f>
        <v>United Kingdom|Foreign direct investment, net inflows (BoP, current US$)|2013</v>
      </c>
    </row>
    <row r="1254" spans="1:7" x14ac:dyDescent="0.3">
      <c r="A1254" s="2" t="s">
        <v>21</v>
      </c>
      <c r="B1254" s="2" t="s">
        <v>75</v>
      </c>
      <c r="C1254" s="2" t="s">
        <v>13</v>
      </c>
      <c r="D1254" s="2" t="s">
        <v>123</v>
      </c>
      <c r="E1254" s="2" t="s">
        <v>156</v>
      </c>
      <c r="F1254" s="2">
        <v>58890445252.713898</v>
      </c>
      <c r="G1254" s="2" t="str">
        <f>Table1_1[[#This Row],[Country Name]]&amp;"|"&amp;Table1_1[[#This Row],[Series Name]]&amp;"|"&amp;Table1_1[[#This Row],[Years]]</f>
        <v>United Kingdom|Foreign direct investment, net inflows (BoP, current US$)|2014</v>
      </c>
    </row>
    <row r="1255" spans="1:7" x14ac:dyDescent="0.3">
      <c r="A1255" s="2" t="s">
        <v>21</v>
      </c>
      <c r="B1255" s="2" t="s">
        <v>75</v>
      </c>
      <c r="C1255" s="2" t="s">
        <v>13</v>
      </c>
      <c r="D1255" s="2" t="s">
        <v>123</v>
      </c>
      <c r="E1255" s="2" t="s">
        <v>157</v>
      </c>
      <c r="F1255" s="2">
        <v>45333483122.089897</v>
      </c>
      <c r="G1255" s="2" t="str">
        <f>Table1_1[[#This Row],[Country Name]]&amp;"|"&amp;Table1_1[[#This Row],[Series Name]]&amp;"|"&amp;Table1_1[[#This Row],[Years]]</f>
        <v>United Kingdom|Foreign direct investment, net inflows (BoP, current US$)|2015</v>
      </c>
    </row>
    <row r="1256" spans="1:7" x14ac:dyDescent="0.3">
      <c r="A1256" s="2" t="s">
        <v>21</v>
      </c>
      <c r="B1256" s="2" t="s">
        <v>75</v>
      </c>
      <c r="C1256" s="2" t="s">
        <v>13</v>
      </c>
      <c r="D1256" s="2" t="s">
        <v>123</v>
      </c>
      <c r="E1256" s="2" t="s">
        <v>158</v>
      </c>
      <c r="F1256" s="2">
        <v>324813224213.021</v>
      </c>
      <c r="G1256" s="2" t="str">
        <f>Table1_1[[#This Row],[Country Name]]&amp;"|"&amp;Table1_1[[#This Row],[Series Name]]&amp;"|"&amp;Table1_1[[#This Row],[Years]]</f>
        <v>United Kingdom|Foreign direct investment, net inflows (BoP, current US$)|2016</v>
      </c>
    </row>
    <row r="1257" spans="1:7" x14ac:dyDescent="0.3">
      <c r="A1257" s="2" t="s">
        <v>21</v>
      </c>
      <c r="B1257" s="2" t="s">
        <v>75</v>
      </c>
      <c r="C1257" s="2" t="s">
        <v>13</v>
      </c>
      <c r="D1257" s="2" t="s">
        <v>123</v>
      </c>
      <c r="E1257" s="2" t="s">
        <v>159</v>
      </c>
      <c r="F1257" s="2">
        <v>125358809934.12</v>
      </c>
      <c r="G1257" s="2" t="str">
        <f>Table1_1[[#This Row],[Country Name]]&amp;"|"&amp;Table1_1[[#This Row],[Series Name]]&amp;"|"&amp;Table1_1[[#This Row],[Years]]</f>
        <v>United Kingdom|Foreign direct investment, net inflows (BoP, current US$)|2017</v>
      </c>
    </row>
    <row r="1258" spans="1:7" x14ac:dyDescent="0.3">
      <c r="A1258" s="2" t="s">
        <v>21</v>
      </c>
      <c r="B1258" s="2" t="s">
        <v>75</v>
      </c>
      <c r="C1258" s="2" t="s">
        <v>13</v>
      </c>
      <c r="D1258" s="2" t="s">
        <v>123</v>
      </c>
      <c r="E1258" s="2" t="s">
        <v>160</v>
      </c>
      <c r="F1258" s="2">
        <v>-25055440306.907299</v>
      </c>
      <c r="G1258" s="2" t="str">
        <f>Table1_1[[#This Row],[Country Name]]&amp;"|"&amp;Table1_1[[#This Row],[Series Name]]&amp;"|"&amp;Table1_1[[#This Row],[Years]]</f>
        <v>United Kingdom|Foreign direct investment, net inflows (BoP, current US$)|2018</v>
      </c>
    </row>
    <row r="1259" spans="1:7" x14ac:dyDescent="0.3">
      <c r="A1259" s="2" t="s">
        <v>21</v>
      </c>
      <c r="B1259" s="2" t="s">
        <v>75</v>
      </c>
      <c r="C1259" s="2" t="s">
        <v>13</v>
      </c>
      <c r="D1259" s="2" t="s">
        <v>123</v>
      </c>
      <c r="E1259" s="2" t="s">
        <v>161</v>
      </c>
      <c r="F1259" s="2">
        <v>19790761929.127602</v>
      </c>
      <c r="G1259" s="2" t="str">
        <f>Table1_1[[#This Row],[Country Name]]&amp;"|"&amp;Table1_1[[#This Row],[Series Name]]&amp;"|"&amp;Table1_1[[#This Row],[Years]]</f>
        <v>United Kingdom|Foreign direct investment, net inflows (BoP, current US$)|2019</v>
      </c>
    </row>
    <row r="1260" spans="1:7" x14ac:dyDescent="0.3">
      <c r="A1260" s="2" t="s">
        <v>21</v>
      </c>
      <c r="B1260" s="2" t="s">
        <v>75</v>
      </c>
      <c r="C1260" s="2" t="s">
        <v>13</v>
      </c>
      <c r="D1260" s="2" t="s">
        <v>123</v>
      </c>
      <c r="E1260" s="2" t="s">
        <v>162</v>
      </c>
      <c r="F1260" s="2">
        <v>157185559299.98901</v>
      </c>
      <c r="G1260" s="2" t="str">
        <f>Table1_1[[#This Row],[Country Name]]&amp;"|"&amp;Table1_1[[#This Row],[Series Name]]&amp;"|"&amp;Table1_1[[#This Row],[Years]]</f>
        <v>United Kingdom|Foreign direct investment, net inflows (BoP, current US$)|2020</v>
      </c>
    </row>
    <row r="1261" spans="1:7" x14ac:dyDescent="0.3">
      <c r="A1261" s="2" t="s">
        <v>21</v>
      </c>
      <c r="B1261" s="2" t="s">
        <v>75</v>
      </c>
      <c r="C1261" s="2" t="s">
        <v>13</v>
      </c>
      <c r="D1261" s="2" t="s">
        <v>123</v>
      </c>
      <c r="E1261" s="2" t="s">
        <v>163</v>
      </c>
      <c r="F1261" s="2">
        <v>102431564639.492</v>
      </c>
      <c r="G1261" s="2" t="str">
        <f>Table1_1[[#This Row],[Country Name]]&amp;"|"&amp;Table1_1[[#This Row],[Series Name]]&amp;"|"&amp;Table1_1[[#This Row],[Years]]</f>
        <v>United Kingdom|Foreign direct investment, net inflows (BoP, current US$)|2021</v>
      </c>
    </row>
    <row r="1262" spans="1:7" x14ac:dyDescent="0.3">
      <c r="A1262" s="2" t="s">
        <v>21</v>
      </c>
      <c r="B1262" s="2" t="s">
        <v>75</v>
      </c>
      <c r="C1262" s="2" t="s">
        <v>13</v>
      </c>
      <c r="D1262" s="2" t="s">
        <v>123</v>
      </c>
      <c r="E1262" s="2" t="s">
        <v>164</v>
      </c>
      <c r="F1262" s="2">
        <v>92776358059.349197</v>
      </c>
      <c r="G1262" s="2" t="str">
        <f>Table1_1[[#This Row],[Country Name]]&amp;"|"&amp;Table1_1[[#This Row],[Series Name]]&amp;"|"&amp;Table1_1[[#This Row],[Years]]</f>
        <v>United Kingdom|Foreign direct investment, net inflows (BoP, current US$)|2022</v>
      </c>
    </row>
    <row r="1263" spans="1:7" x14ac:dyDescent="0.3">
      <c r="A1263" s="2" t="s">
        <v>21</v>
      </c>
      <c r="B1263" s="2" t="s">
        <v>75</v>
      </c>
      <c r="C1263" s="2" t="s">
        <v>13</v>
      </c>
      <c r="D1263" s="2" t="s">
        <v>123</v>
      </c>
      <c r="E1263" s="2" t="s">
        <v>165</v>
      </c>
      <c r="F1263" s="2">
        <v>13789803776.160801</v>
      </c>
      <c r="G1263" s="2" t="str">
        <f>Table1_1[[#This Row],[Country Name]]&amp;"|"&amp;Table1_1[[#This Row],[Series Name]]&amp;"|"&amp;Table1_1[[#This Row],[Years]]</f>
        <v>United Kingdom|Foreign direct investment, net inflows (BoP, current US$)|2023</v>
      </c>
    </row>
    <row r="1264" spans="1:7" x14ac:dyDescent="0.3">
      <c r="A1264" s="2" t="s">
        <v>21</v>
      </c>
      <c r="B1264" s="2" t="s">
        <v>75</v>
      </c>
      <c r="C1264" s="2" t="s">
        <v>13</v>
      </c>
      <c r="D1264" s="2" t="s">
        <v>123</v>
      </c>
      <c r="E1264" s="2" t="s">
        <v>166</v>
      </c>
      <c r="F1264" s="2">
        <v>-12955141484.5037</v>
      </c>
      <c r="G1264" s="2" t="str">
        <f>Table1_1[[#This Row],[Country Name]]&amp;"|"&amp;Table1_1[[#This Row],[Series Name]]&amp;"|"&amp;Table1_1[[#This Row],[Years]]</f>
        <v>United Kingdom|Foreign direct investment, net inflows (BoP, current US$)|2024</v>
      </c>
    </row>
    <row r="1265" spans="1:7" x14ac:dyDescent="0.3">
      <c r="A1265" s="2" t="s">
        <v>21</v>
      </c>
      <c r="B1265" s="2" t="s">
        <v>75</v>
      </c>
      <c r="C1265" s="2" t="s">
        <v>13</v>
      </c>
      <c r="D1265" s="2" t="s">
        <v>123</v>
      </c>
      <c r="E1265" s="2" t="s">
        <v>167</v>
      </c>
      <c r="F1265" s="2">
        <v>76628404708.653595</v>
      </c>
      <c r="G1265" s="2" t="str">
        <f>Table1_1[[#This Row],[Country Name]]&amp;"|"&amp;Table1_1[[#This Row],[Series Name]]&amp;"|"&amp;Table1_1[[#This Row],[Years]]</f>
        <v>United Kingdom|Foreign direct investment, net inflows (BoP, current US$)|2025</v>
      </c>
    </row>
    <row r="1266" spans="1:7" x14ac:dyDescent="0.3">
      <c r="A1266" s="2" t="s">
        <v>21</v>
      </c>
      <c r="B1266" s="2" t="s">
        <v>75</v>
      </c>
      <c r="C1266" s="2" t="s">
        <v>107</v>
      </c>
      <c r="D1266" s="2" t="s">
        <v>106</v>
      </c>
      <c r="E1266" s="2" t="s">
        <v>152</v>
      </c>
      <c r="F1266" s="2">
        <v>62766365</v>
      </c>
      <c r="G1266" s="2" t="str">
        <f>Table1_1[[#This Row],[Country Name]]&amp;"|"&amp;Table1_1[[#This Row],[Series Name]]&amp;"|"&amp;Table1_1[[#This Row],[Years]]</f>
        <v>United Kingdom|Population, total|2010</v>
      </c>
    </row>
    <row r="1267" spans="1:7" x14ac:dyDescent="0.3">
      <c r="A1267" s="2" t="s">
        <v>21</v>
      </c>
      <c r="B1267" s="2" t="s">
        <v>75</v>
      </c>
      <c r="C1267" s="2" t="s">
        <v>107</v>
      </c>
      <c r="D1267" s="2" t="s">
        <v>106</v>
      </c>
      <c r="E1267" s="2" t="s">
        <v>153</v>
      </c>
      <c r="F1267" s="2">
        <v>63258810</v>
      </c>
      <c r="G1267" s="2" t="str">
        <f>Table1_1[[#This Row],[Country Name]]&amp;"|"&amp;Table1_1[[#This Row],[Series Name]]&amp;"|"&amp;Table1_1[[#This Row],[Years]]</f>
        <v>United Kingdom|Population, total|2011</v>
      </c>
    </row>
    <row r="1268" spans="1:7" x14ac:dyDescent="0.3">
      <c r="A1268" s="2" t="s">
        <v>21</v>
      </c>
      <c r="B1268" s="2" t="s">
        <v>75</v>
      </c>
      <c r="C1268" s="2" t="s">
        <v>107</v>
      </c>
      <c r="D1268" s="2" t="s">
        <v>106</v>
      </c>
      <c r="E1268" s="2" t="s">
        <v>154</v>
      </c>
      <c r="F1268" s="2">
        <v>63711000</v>
      </c>
      <c r="G1268" s="2" t="str">
        <f>Table1_1[[#This Row],[Country Name]]&amp;"|"&amp;Table1_1[[#This Row],[Series Name]]&amp;"|"&amp;Table1_1[[#This Row],[Years]]</f>
        <v>United Kingdom|Population, total|2012</v>
      </c>
    </row>
    <row r="1269" spans="1:7" x14ac:dyDescent="0.3">
      <c r="A1269" s="2" t="s">
        <v>21</v>
      </c>
      <c r="B1269" s="2" t="s">
        <v>75</v>
      </c>
      <c r="C1269" s="2" t="s">
        <v>107</v>
      </c>
      <c r="D1269" s="2" t="s">
        <v>106</v>
      </c>
      <c r="E1269" s="2" t="s">
        <v>155</v>
      </c>
      <c r="F1269" s="2">
        <v>64138000</v>
      </c>
      <c r="G1269" s="2" t="str">
        <f>Table1_1[[#This Row],[Country Name]]&amp;"|"&amp;Table1_1[[#This Row],[Series Name]]&amp;"|"&amp;Table1_1[[#This Row],[Years]]</f>
        <v>United Kingdom|Population, total|2013</v>
      </c>
    </row>
    <row r="1270" spans="1:7" x14ac:dyDescent="0.3">
      <c r="A1270" s="2" t="s">
        <v>21</v>
      </c>
      <c r="B1270" s="2" t="s">
        <v>75</v>
      </c>
      <c r="C1270" s="2" t="s">
        <v>107</v>
      </c>
      <c r="D1270" s="2" t="s">
        <v>106</v>
      </c>
      <c r="E1270" s="2" t="s">
        <v>156</v>
      </c>
      <c r="F1270" s="2">
        <v>64619000</v>
      </c>
      <c r="G1270" s="2" t="str">
        <f>Table1_1[[#This Row],[Country Name]]&amp;"|"&amp;Table1_1[[#This Row],[Series Name]]&amp;"|"&amp;Table1_1[[#This Row],[Years]]</f>
        <v>United Kingdom|Population, total|2014</v>
      </c>
    </row>
    <row r="1271" spans="1:7" x14ac:dyDescent="0.3">
      <c r="A1271" s="2" t="s">
        <v>21</v>
      </c>
      <c r="B1271" s="2" t="s">
        <v>75</v>
      </c>
      <c r="C1271" s="2" t="s">
        <v>107</v>
      </c>
      <c r="D1271" s="2" t="s">
        <v>106</v>
      </c>
      <c r="E1271" s="2" t="s">
        <v>157</v>
      </c>
      <c r="F1271" s="2">
        <v>65087000</v>
      </c>
      <c r="G1271" s="2" t="str">
        <f>Table1_1[[#This Row],[Country Name]]&amp;"|"&amp;Table1_1[[#This Row],[Series Name]]&amp;"|"&amp;Table1_1[[#This Row],[Years]]</f>
        <v>United Kingdom|Population, total|2015</v>
      </c>
    </row>
    <row r="1272" spans="1:7" x14ac:dyDescent="0.3">
      <c r="A1272" s="2" t="s">
        <v>21</v>
      </c>
      <c r="B1272" s="2" t="s">
        <v>75</v>
      </c>
      <c r="C1272" s="2" t="s">
        <v>107</v>
      </c>
      <c r="D1272" s="2" t="s">
        <v>106</v>
      </c>
      <c r="E1272" s="2" t="s">
        <v>158</v>
      </c>
      <c r="F1272" s="2">
        <v>65606000</v>
      </c>
      <c r="G1272" s="2" t="str">
        <f>Table1_1[[#This Row],[Country Name]]&amp;"|"&amp;Table1_1[[#This Row],[Series Name]]&amp;"|"&amp;Table1_1[[#This Row],[Years]]</f>
        <v>United Kingdom|Population, total|2016</v>
      </c>
    </row>
    <row r="1273" spans="1:7" x14ac:dyDescent="0.3">
      <c r="A1273" s="2" t="s">
        <v>21</v>
      </c>
      <c r="B1273" s="2" t="s">
        <v>75</v>
      </c>
      <c r="C1273" s="2" t="s">
        <v>107</v>
      </c>
      <c r="D1273" s="2" t="s">
        <v>106</v>
      </c>
      <c r="E1273" s="2" t="s">
        <v>159</v>
      </c>
      <c r="F1273" s="2">
        <v>65964000</v>
      </c>
      <c r="G1273" s="2" t="str">
        <f>Table1_1[[#This Row],[Country Name]]&amp;"|"&amp;Table1_1[[#This Row],[Series Name]]&amp;"|"&amp;Table1_1[[#This Row],[Years]]</f>
        <v>United Kingdom|Population, total|2017</v>
      </c>
    </row>
    <row r="1274" spans="1:7" x14ac:dyDescent="0.3">
      <c r="A1274" s="2" t="s">
        <v>21</v>
      </c>
      <c r="B1274" s="2" t="s">
        <v>75</v>
      </c>
      <c r="C1274" s="2" t="s">
        <v>107</v>
      </c>
      <c r="D1274" s="2" t="s">
        <v>106</v>
      </c>
      <c r="E1274" s="2" t="s">
        <v>160</v>
      </c>
      <c r="F1274" s="2">
        <v>66287000</v>
      </c>
      <c r="G1274" s="2" t="str">
        <f>Table1_1[[#This Row],[Country Name]]&amp;"|"&amp;Table1_1[[#This Row],[Series Name]]&amp;"|"&amp;Table1_1[[#This Row],[Years]]</f>
        <v>United Kingdom|Population, total|2018</v>
      </c>
    </row>
    <row r="1275" spans="1:7" x14ac:dyDescent="0.3">
      <c r="A1275" s="2" t="s">
        <v>21</v>
      </c>
      <c r="B1275" s="2" t="s">
        <v>75</v>
      </c>
      <c r="C1275" s="2" t="s">
        <v>107</v>
      </c>
      <c r="D1275" s="2" t="s">
        <v>106</v>
      </c>
      <c r="E1275" s="2" t="s">
        <v>161</v>
      </c>
      <c r="F1275" s="2">
        <v>66628000</v>
      </c>
      <c r="G1275" s="2" t="str">
        <f>Table1_1[[#This Row],[Country Name]]&amp;"|"&amp;Table1_1[[#This Row],[Series Name]]&amp;"|"&amp;Table1_1[[#This Row],[Years]]</f>
        <v>United Kingdom|Population, total|2019</v>
      </c>
    </row>
    <row r="1276" spans="1:7" x14ac:dyDescent="0.3">
      <c r="A1276" s="2" t="s">
        <v>21</v>
      </c>
      <c r="B1276" s="2" t="s">
        <v>75</v>
      </c>
      <c r="C1276" s="2" t="s">
        <v>107</v>
      </c>
      <c r="D1276" s="2" t="s">
        <v>106</v>
      </c>
      <c r="E1276" s="2" t="s">
        <v>162</v>
      </c>
      <c r="F1276" s="2">
        <v>66740000</v>
      </c>
      <c r="G1276" s="2" t="str">
        <f>Table1_1[[#This Row],[Country Name]]&amp;"|"&amp;Table1_1[[#This Row],[Series Name]]&amp;"|"&amp;Table1_1[[#This Row],[Years]]</f>
        <v>United Kingdom|Population, total|2020</v>
      </c>
    </row>
    <row r="1277" spans="1:7" x14ac:dyDescent="0.3">
      <c r="A1277" s="2" t="s">
        <v>21</v>
      </c>
      <c r="B1277" s="2" t="s">
        <v>75</v>
      </c>
      <c r="C1277" s="2" t="s">
        <v>107</v>
      </c>
      <c r="D1277" s="2" t="s">
        <v>106</v>
      </c>
      <c r="E1277" s="2" t="s">
        <v>163</v>
      </c>
      <c r="F1277" s="2">
        <v>66978000</v>
      </c>
      <c r="G1277" s="2" t="str">
        <f>Table1_1[[#This Row],[Country Name]]&amp;"|"&amp;Table1_1[[#This Row],[Series Name]]&amp;"|"&amp;Table1_1[[#This Row],[Years]]</f>
        <v>United Kingdom|Population, total|2021</v>
      </c>
    </row>
    <row r="1278" spans="1:7" x14ac:dyDescent="0.3">
      <c r="A1278" s="2" t="s">
        <v>21</v>
      </c>
      <c r="B1278" s="2" t="s">
        <v>75</v>
      </c>
      <c r="C1278" s="2" t="s">
        <v>107</v>
      </c>
      <c r="D1278" s="2" t="s">
        <v>106</v>
      </c>
      <c r="E1278" s="2" t="s">
        <v>164</v>
      </c>
      <c r="F1278" s="2">
        <v>67636000</v>
      </c>
      <c r="G1278" s="2" t="str">
        <f>Table1_1[[#This Row],[Country Name]]&amp;"|"&amp;Table1_1[[#This Row],[Series Name]]&amp;"|"&amp;Table1_1[[#This Row],[Years]]</f>
        <v>United Kingdom|Population, total|2022</v>
      </c>
    </row>
    <row r="1279" spans="1:7" x14ac:dyDescent="0.3">
      <c r="A1279" s="2" t="s">
        <v>21</v>
      </c>
      <c r="B1279" s="2" t="s">
        <v>75</v>
      </c>
      <c r="C1279" s="2" t="s">
        <v>107</v>
      </c>
      <c r="D1279" s="2" t="s">
        <v>106</v>
      </c>
      <c r="E1279" s="2" t="s">
        <v>165</v>
      </c>
      <c r="F1279" s="2">
        <v>68526000</v>
      </c>
      <c r="G1279" s="2" t="str">
        <f>Table1_1[[#This Row],[Country Name]]&amp;"|"&amp;Table1_1[[#This Row],[Series Name]]&amp;"|"&amp;Table1_1[[#This Row],[Years]]</f>
        <v>United Kingdom|Population, total|2023</v>
      </c>
    </row>
    <row r="1280" spans="1:7" x14ac:dyDescent="0.3">
      <c r="A1280" s="2" t="s">
        <v>21</v>
      </c>
      <c r="B1280" s="2" t="s">
        <v>75</v>
      </c>
      <c r="C1280" s="2" t="s">
        <v>107</v>
      </c>
      <c r="D1280" s="2" t="s">
        <v>106</v>
      </c>
      <c r="E1280" s="2" t="s">
        <v>166</v>
      </c>
      <c r="F1280" s="2">
        <v>69281000</v>
      </c>
      <c r="G1280" s="2" t="str">
        <f>Table1_1[[#This Row],[Country Name]]&amp;"|"&amp;Table1_1[[#This Row],[Series Name]]&amp;"|"&amp;Table1_1[[#This Row],[Years]]</f>
        <v>United Kingdom|Population, total|2024</v>
      </c>
    </row>
    <row r="1281" spans="1:7" x14ac:dyDescent="0.3">
      <c r="A1281" s="2" t="s">
        <v>21</v>
      </c>
      <c r="B1281" s="2" t="s">
        <v>75</v>
      </c>
      <c r="C1281" s="2" t="s">
        <v>107</v>
      </c>
      <c r="D1281" s="2" t="s">
        <v>106</v>
      </c>
      <c r="E1281" s="2" t="s">
        <v>167</v>
      </c>
      <c r="F1281" s="2">
        <v>69487000</v>
      </c>
      <c r="G1281" s="2" t="str">
        <f>Table1_1[[#This Row],[Country Name]]&amp;"|"&amp;Table1_1[[#This Row],[Series Name]]&amp;"|"&amp;Table1_1[[#This Row],[Years]]</f>
        <v>United Kingdom|Population, total|2025</v>
      </c>
    </row>
    <row r="1282" spans="1:7" x14ac:dyDescent="0.3">
      <c r="A1282" s="2" t="s">
        <v>94</v>
      </c>
      <c r="B1282" s="2" t="s">
        <v>97</v>
      </c>
      <c r="C1282" s="2" t="s">
        <v>25</v>
      </c>
      <c r="D1282" s="2" t="s">
        <v>89</v>
      </c>
      <c r="E1282" s="2" t="s">
        <v>152</v>
      </c>
      <c r="F1282" s="2">
        <v>15048971000000</v>
      </c>
      <c r="G1282" s="2" t="str">
        <f>Table1_1[[#This Row],[Country Name]]&amp;"|"&amp;Table1_1[[#This Row],[Series Name]]&amp;"|"&amp;Table1_1[[#This Row],[Years]]</f>
        <v>United States|GDP (current US$)|2010</v>
      </c>
    </row>
    <row r="1283" spans="1:7" x14ac:dyDescent="0.3">
      <c r="A1283" s="2" t="s">
        <v>94</v>
      </c>
      <c r="B1283" s="2" t="s">
        <v>97</v>
      </c>
      <c r="C1283" s="2" t="s">
        <v>25</v>
      </c>
      <c r="D1283" s="2" t="s">
        <v>89</v>
      </c>
      <c r="E1283" s="2" t="s">
        <v>153</v>
      </c>
      <c r="F1283" s="2">
        <v>15599732000000</v>
      </c>
      <c r="G1283" s="2" t="str">
        <f>Table1_1[[#This Row],[Country Name]]&amp;"|"&amp;Table1_1[[#This Row],[Series Name]]&amp;"|"&amp;Table1_1[[#This Row],[Years]]</f>
        <v>United States|GDP (current US$)|2011</v>
      </c>
    </row>
    <row r="1284" spans="1:7" x14ac:dyDescent="0.3">
      <c r="A1284" s="2" t="s">
        <v>94</v>
      </c>
      <c r="B1284" s="2" t="s">
        <v>97</v>
      </c>
      <c r="C1284" s="2" t="s">
        <v>25</v>
      </c>
      <c r="D1284" s="2" t="s">
        <v>89</v>
      </c>
      <c r="E1284" s="2" t="s">
        <v>154</v>
      </c>
      <c r="F1284" s="2">
        <v>16253970000000</v>
      </c>
      <c r="G1284" s="2" t="str">
        <f>Table1_1[[#This Row],[Country Name]]&amp;"|"&amp;Table1_1[[#This Row],[Series Name]]&amp;"|"&amp;Table1_1[[#This Row],[Years]]</f>
        <v>United States|GDP (current US$)|2012</v>
      </c>
    </row>
    <row r="1285" spans="1:7" x14ac:dyDescent="0.3">
      <c r="A1285" s="2" t="s">
        <v>94</v>
      </c>
      <c r="B1285" s="2" t="s">
        <v>97</v>
      </c>
      <c r="C1285" s="2" t="s">
        <v>25</v>
      </c>
      <c r="D1285" s="2" t="s">
        <v>89</v>
      </c>
      <c r="E1285" s="2" t="s">
        <v>155</v>
      </c>
      <c r="F1285" s="2">
        <v>16880683000000</v>
      </c>
      <c r="G1285" s="2" t="str">
        <f>Table1_1[[#This Row],[Country Name]]&amp;"|"&amp;Table1_1[[#This Row],[Series Name]]&amp;"|"&amp;Table1_1[[#This Row],[Years]]</f>
        <v>United States|GDP (current US$)|2013</v>
      </c>
    </row>
    <row r="1286" spans="1:7" x14ac:dyDescent="0.3">
      <c r="A1286" s="2" t="s">
        <v>94</v>
      </c>
      <c r="B1286" s="2" t="s">
        <v>97</v>
      </c>
      <c r="C1286" s="2" t="s">
        <v>25</v>
      </c>
      <c r="D1286" s="2" t="s">
        <v>89</v>
      </c>
      <c r="E1286" s="2" t="s">
        <v>156</v>
      </c>
      <c r="F1286" s="2">
        <v>17608138000000</v>
      </c>
      <c r="G1286" s="2" t="str">
        <f>Table1_1[[#This Row],[Country Name]]&amp;"|"&amp;Table1_1[[#This Row],[Series Name]]&amp;"|"&amp;Table1_1[[#This Row],[Years]]</f>
        <v>United States|GDP (current US$)|2014</v>
      </c>
    </row>
    <row r="1287" spans="1:7" x14ac:dyDescent="0.3">
      <c r="A1287" s="2" t="s">
        <v>94</v>
      </c>
      <c r="B1287" s="2" t="s">
        <v>97</v>
      </c>
      <c r="C1287" s="2" t="s">
        <v>25</v>
      </c>
      <c r="D1287" s="2" t="s">
        <v>89</v>
      </c>
      <c r="E1287" s="2" t="s">
        <v>157</v>
      </c>
      <c r="F1287" s="2">
        <v>18295019000000</v>
      </c>
      <c r="G1287" s="2" t="str">
        <f>Table1_1[[#This Row],[Country Name]]&amp;"|"&amp;Table1_1[[#This Row],[Series Name]]&amp;"|"&amp;Table1_1[[#This Row],[Years]]</f>
        <v>United States|GDP (current US$)|2015</v>
      </c>
    </row>
    <row r="1288" spans="1:7" x14ac:dyDescent="0.3">
      <c r="A1288" s="2" t="s">
        <v>94</v>
      </c>
      <c r="B1288" s="2" t="s">
        <v>97</v>
      </c>
      <c r="C1288" s="2" t="s">
        <v>25</v>
      </c>
      <c r="D1288" s="2" t="s">
        <v>89</v>
      </c>
      <c r="E1288" s="2" t="s">
        <v>158</v>
      </c>
      <c r="F1288" s="2">
        <v>18804913000000</v>
      </c>
      <c r="G1288" s="2" t="str">
        <f>Table1_1[[#This Row],[Country Name]]&amp;"|"&amp;Table1_1[[#This Row],[Series Name]]&amp;"|"&amp;Table1_1[[#This Row],[Years]]</f>
        <v>United States|GDP (current US$)|2016</v>
      </c>
    </row>
    <row r="1289" spans="1:7" x14ac:dyDescent="0.3">
      <c r="A1289" s="2" t="s">
        <v>94</v>
      </c>
      <c r="B1289" s="2" t="s">
        <v>97</v>
      </c>
      <c r="C1289" s="2" t="s">
        <v>25</v>
      </c>
      <c r="D1289" s="2" t="s">
        <v>89</v>
      </c>
      <c r="E1289" s="2" t="s">
        <v>159</v>
      </c>
      <c r="F1289" s="2">
        <v>19612102000000</v>
      </c>
      <c r="G1289" s="2" t="str">
        <f>Table1_1[[#This Row],[Country Name]]&amp;"|"&amp;Table1_1[[#This Row],[Series Name]]&amp;"|"&amp;Table1_1[[#This Row],[Years]]</f>
        <v>United States|GDP (current US$)|2017</v>
      </c>
    </row>
    <row r="1290" spans="1:7" x14ac:dyDescent="0.3">
      <c r="A1290" s="2" t="s">
        <v>94</v>
      </c>
      <c r="B1290" s="2" t="s">
        <v>97</v>
      </c>
      <c r="C1290" s="2" t="s">
        <v>25</v>
      </c>
      <c r="D1290" s="2" t="s">
        <v>89</v>
      </c>
      <c r="E1290" s="2" t="s">
        <v>160</v>
      </c>
      <c r="F1290" s="2">
        <v>20656516000000</v>
      </c>
      <c r="G1290" s="2" t="str">
        <f>Table1_1[[#This Row],[Country Name]]&amp;"|"&amp;Table1_1[[#This Row],[Series Name]]&amp;"|"&amp;Table1_1[[#This Row],[Years]]</f>
        <v>United States|GDP (current US$)|2018</v>
      </c>
    </row>
    <row r="1291" spans="1:7" x14ac:dyDescent="0.3">
      <c r="A1291" s="2" t="s">
        <v>94</v>
      </c>
      <c r="B1291" s="2" t="s">
        <v>97</v>
      </c>
      <c r="C1291" s="2" t="s">
        <v>25</v>
      </c>
      <c r="D1291" s="2" t="s">
        <v>89</v>
      </c>
      <c r="E1291" s="2" t="s">
        <v>161</v>
      </c>
      <c r="F1291" s="2">
        <v>21539982000000</v>
      </c>
      <c r="G1291" s="2" t="str">
        <f>Table1_1[[#This Row],[Country Name]]&amp;"|"&amp;Table1_1[[#This Row],[Series Name]]&amp;"|"&amp;Table1_1[[#This Row],[Years]]</f>
        <v>United States|GDP (current US$)|2019</v>
      </c>
    </row>
    <row r="1292" spans="1:7" x14ac:dyDescent="0.3">
      <c r="A1292" s="2" t="s">
        <v>94</v>
      </c>
      <c r="B1292" s="2" t="s">
        <v>97</v>
      </c>
      <c r="C1292" s="2" t="s">
        <v>25</v>
      </c>
      <c r="D1292" s="2" t="s">
        <v>89</v>
      </c>
      <c r="E1292" s="2" t="s">
        <v>162</v>
      </c>
      <c r="F1292" s="2">
        <v>21375281000000</v>
      </c>
      <c r="G1292" s="2" t="str">
        <f>Table1_1[[#This Row],[Country Name]]&amp;"|"&amp;Table1_1[[#This Row],[Series Name]]&amp;"|"&amp;Table1_1[[#This Row],[Years]]</f>
        <v>United States|GDP (current US$)|2020</v>
      </c>
    </row>
    <row r="1293" spans="1:7" x14ac:dyDescent="0.3">
      <c r="A1293" s="2" t="s">
        <v>94</v>
      </c>
      <c r="B1293" s="2" t="s">
        <v>97</v>
      </c>
      <c r="C1293" s="2" t="s">
        <v>25</v>
      </c>
      <c r="D1293" s="2" t="s">
        <v>89</v>
      </c>
      <c r="E1293" s="2" t="s">
        <v>163</v>
      </c>
      <c r="F1293" s="2">
        <v>23725645000000</v>
      </c>
      <c r="G1293" s="2" t="str">
        <f>Table1_1[[#This Row],[Country Name]]&amp;"|"&amp;Table1_1[[#This Row],[Series Name]]&amp;"|"&amp;Table1_1[[#This Row],[Years]]</f>
        <v>United States|GDP (current US$)|2021</v>
      </c>
    </row>
    <row r="1294" spans="1:7" x14ac:dyDescent="0.3">
      <c r="A1294" s="2" t="s">
        <v>94</v>
      </c>
      <c r="B1294" s="2" t="s">
        <v>97</v>
      </c>
      <c r="C1294" s="2" t="s">
        <v>25</v>
      </c>
      <c r="D1294" s="2" t="s">
        <v>89</v>
      </c>
      <c r="E1294" s="2" t="s">
        <v>164</v>
      </c>
      <c r="F1294" s="2">
        <v>26054614000000</v>
      </c>
      <c r="G1294" s="2" t="str">
        <f>Table1_1[[#This Row],[Country Name]]&amp;"|"&amp;Table1_1[[#This Row],[Series Name]]&amp;"|"&amp;Table1_1[[#This Row],[Years]]</f>
        <v>United States|GDP (current US$)|2022</v>
      </c>
    </row>
    <row r="1295" spans="1:7" x14ac:dyDescent="0.3">
      <c r="A1295" s="2" t="s">
        <v>94</v>
      </c>
      <c r="B1295" s="2" t="s">
        <v>97</v>
      </c>
      <c r="C1295" s="2" t="s">
        <v>25</v>
      </c>
      <c r="D1295" s="2" t="s">
        <v>89</v>
      </c>
      <c r="E1295" s="2" t="s">
        <v>165</v>
      </c>
      <c r="F1295" s="2">
        <v>27811517000000</v>
      </c>
      <c r="G1295" s="2" t="str">
        <f>Table1_1[[#This Row],[Country Name]]&amp;"|"&amp;Table1_1[[#This Row],[Series Name]]&amp;"|"&amp;Table1_1[[#This Row],[Years]]</f>
        <v>United States|GDP (current US$)|2023</v>
      </c>
    </row>
    <row r="1296" spans="1:7" x14ac:dyDescent="0.3">
      <c r="A1296" s="2" t="s">
        <v>94</v>
      </c>
      <c r="B1296" s="2" t="s">
        <v>97</v>
      </c>
      <c r="C1296" s="2" t="s">
        <v>25</v>
      </c>
      <c r="D1296" s="2" t="s">
        <v>89</v>
      </c>
      <c r="E1296" s="2" t="s">
        <v>166</v>
      </c>
      <c r="F1296" s="2">
        <v>29298013000000</v>
      </c>
      <c r="G1296" s="2" t="str">
        <f>Table1_1[[#This Row],[Country Name]]&amp;"|"&amp;Table1_1[[#This Row],[Series Name]]&amp;"|"&amp;Table1_1[[#This Row],[Years]]</f>
        <v>United States|GDP (current US$)|2024</v>
      </c>
    </row>
    <row r="1297" spans="1:7" x14ac:dyDescent="0.3">
      <c r="A1297" s="2" t="s">
        <v>94</v>
      </c>
      <c r="B1297" s="2" t="s">
        <v>97</v>
      </c>
      <c r="C1297" s="2" t="s">
        <v>25</v>
      </c>
      <c r="D1297" s="2" t="s">
        <v>89</v>
      </c>
      <c r="E1297" s="2" t="s">
        <v>167</v>
      </c>
      <c r="F1297" s="2">
        <v>30769700000000</v>
      </c>
      <c r="G1297" s="2" t="str">
        <f>Table1_1[[#This Row],[Country Name]]&amp;"|"&amp;Table1_1[[#This Row],[Series Name]]&amp;"|"&amp;Table1_1[[#This Row],[Years]]</f>
        <v>United States|GDP (current US$)|2025</v>
      </c>
    </row>
    <row r="1298" spans="1:7" x14ac:dyDescent="0.3">
      <c r="A1298" s="2" t="s">
        <v>94</v>
      </c>
      <c r="B1298" s="2" t="s">
        <v>97</v>
      </c>
      <c r="C1298" s="2" t="s">
        <v>67</v>
      </c>
      <c r="D1298" s="2" t="s">
        <v>24</v>
      </c>
      <c r="E1298" s="2" t="s">
        <v>152</v>
      </c>
      <c r="F1298" s="2">
        <v>2.6951925867352458</v>
      </c>
      <c r="G1298" s="2" t="str">
        <f>Table1_1[[#This Row],[Country Name]]&amp;"|"&amp;Table1_1[[#This Row],[Series Name]]&amp;"|"&amp;Table1_1[[#This Row],[Years]]</f>
        <v>United States|GDP growth (annual %)|2010</v>
      </c>
    </row>
    <row r="1299" spans="1:7" x14ac:dyDescent="0.3">
      <c r="A1299" s="2" t="s">
        <v>94</v>
      </c>
      <c r="B1299" s="2" t="s">
        <v>97</v>
      </c>
      <c r="C1299" s="2" t="s">
        <v>67</v>
      </c>
      <c r="D1299" s="2" t="s">
        <v>24</v>
      </c>
      <c r="E1299" s="2" t="s">
        <v>153</v>
      </c>
      <c r="F1299" s="2">
        <v>1.5644068520541907</v>
      </c>
      <c r="G1299" s="2" t="str">
        <f>Table1_1[[#This Row],[Country Name]]&amp;"|"&amp;Table1_1[[#This Row],[Series Name]]&amp;"|"&amp;Table1_1[[#This Row],[Years]]</f>
        <v>United States|GDP growth (annual %)|2011</v>
      </c>
    </row>
    <row r="1300" spans="1:7" x14ac:dyDescent="0.3">
      <c r="A1300" s="2" t="s">
        <v>94</v>
      </c>
      <c r="B1300" s="2" t="s">
        <v>97</v>
      </c>
      <c r="C1300" s="2" t="s">
        <v>67</v>
      </c>
      <c r="D1300" s="2" t="s">
        <v>24</v>
      </c>
      <c r="E1300" s="2" t="s">
        <v>154</v>
      </c>
      <c r="F1300" s="2">
        <v>2.2891133900976683</v>
      </c>
      <c r="G1300" s="2" t="str">
        <f>Table1_1[[#This Row],[Country Name]]&amp;"|"&amp;Table1_1[[#This Row],[Series Name]]&amp;"|"&amp;Table1_1[[#This Row],[Years]]</f>
        <v>United States|GDP growth (annual %)|2012</v>
      </c>
    </row>
    <row r="1301" spans="1:7" x14ac:dyDescent="0.3">
      <c r="A1301" s="2" t="s">
        <v>94</v>
      </c>
      <c r="B1301" s="2" t="s">
        <v>97</v>
      </c>
      <c r="C1301" s="2" t="s">
        <v>67</v>
      </c>
      <c r="D1301" s="2" t="s">
        <v>24</v>
      </c>
      <c r="E1301" s="2" t="s">
        <v>155</v>
      </c>
      <c r="F1301" s="2">
        <v>2.1178300944347086</v>
      </c>
      <c r="G1301" s="2" t="str">
        <f>Table1_1[[#This Row],[Country Name]]&amp;"|"&amp;Table1_1[[#This Row],[Series Name]]&amp;"|"&amp;Table1_1[[#This Row],[Years]]</f>
        <v>United States|GDP growth (annual %)|2013</v>
      </c>
    </row>
    <row r="1302" spans="1:7" x14ac:dyDescent="0.3">
      <c r="A1302" s="2" t="s">
        <v>94</v>
      </c>
      <c r="B1302" s="2" t="s">
        <v>97</v>
      </c>
      <c r="C1302" s="2" t="s">
        <v>67</v>
      </c>
      <c r="D1302" s="2" t="s">
        <v>24</v>
      </c>
      <c r="E1302" s="2" t="s">
        <v>156</v>
      </c>
      <c r="F1302" s="2">
        <v>2.5238198175784561</v>
      </c>
      <c r="G1302" s="2" t="str">
        <f>Table1_1[[#This Row],[Country Name]]&amp;"|"&amp;Table1_1[[#This Row],[Series Name]]&amp;"|"&amp;Table1_1[[#This Row],[Years]]</f>
        <v>United States|GDP growth (annual %)|2014</v>
      </c>
    </row>
    <row r="1303" spans="1:7" x14ac:dyDescent="0.3">
      <c r="A1303" s="2" t="s">
        <v>94</v>
      </c>
      <c r="B1303" s="2" t="s">
        <v>97</v>
      </c>
      <c r="C1303" s="2" t="s">
        <v>67</v>
      </c>
      <c r="D1303" s="2" t="s">
        <v>24</v>
      </c>
      <c r="E1303" s="2" t="s">
        <v>157</v>
      </c>
      <c r="F1303" s="2">
        <v>2.9455504522733662</v>
      </c>
      <c r="G1303" s="2" t="str">
        <f>Table1_1[[#This Row],[Country Name]]&amp;"|"&amp;Table1_1[[#This Row],[Series Name]]&amp;"|"&amp;Table1_1[[#This Row],[Years]]</f>
        <v>United States|GDP growth (annual %)|2015</v>
      </c>
    </row>
    <row r="1304" spans="1:7" x14ac:dyDescent="0.3">
      <c r="A1304" s="2" t="s">
        <v>94</v>
      </c>
      <c r="B1304" s="2" t="s">
        <v>97</v>
      </c>
      <c r="C1304" s="2" t="s">
        <v>67</v>
      </c>
      <c r="D1304" s="2" t="s">
        <v>24</v>
      </c>
      <c r="E1304" s="2" t="s">
        <v>158</v>
      </c>
      <c r="F1304" s="2">
        <v>1.8194514790908869</v>
      </c>
      <c r="G1304" s="2" t="str">
        <f>Table1_1[[#This Row],[Country Name]]&amp;"|"&amp;Table1_1[[#This Row],[Series Name]]&amp;"|"&amp;Table1_1[[#This Row],[Years]]</f>
        <v>United States|GDP growth (annual %)|2016</v>
      </c>
    </row>
    <row r="1305" spans="1:7" x14ac:dyDescent="0.3">
      <c r="A1305" s="2" t="s">
        <v>94</v>
      </c>
      <c r="B1305" s="2" t="s">
        <v>97</v>
      </c>
      <c r="C1305" s="2" t="s">
        <v>67</v>
      </c>
      <c r="D1305" s="2" t="s">
        <v>24</v>
      </c>
      <c r="E1305" s="2" t="s">
        <v>159</v>
      </c>
      <c r="F1305" s="2">
        <v>2.4576223012644931</v>
      </c>
      <c r="G1305" s="2" t="str">
        <f>Table1_1[[#This Row],[Country Name]]&amp;"|"&amp;Table1_1[[#This Row],[Series Name]]&amp;"|"&amp;Table1_1[[#This Row],[Years]]</f>
        <v>United States|GDP growth (annual %)|2017</v>
      </c>
    </row>
    <row r="1306" spans="1:7" x14ac:dyDescent="0.3">
      <c r="A1306" s="2" t="s">
        <v>94</v>
      </c>
      <c r="B1306" s="2" t="s">
        <v>97</v>
      </c>
      <c r="C1306" s="2" t="s">
        <v>67</v>
      </c>
      <c r="D1306" s="2" t="s">
        <v>24</v>
      </c>
      <c r="E1306" s="2" t="s">
        <v>160</v>
      </c>
      <c r="F1306" s="2">
        <v>2.9665050670194262</v>
      </c>
      <c r="G1306" s="2" t="str">
        <f>Table1_1[[#This Row],[Country Name]]&amp;"|"&amp;Table1_1[[#This Row],[Series Name]]&amp;"|"&amp;Table1_1[[#This Row],[Years]]</f>
        <v>United States|GDP growth (annual %)|2018</v>
      </c>
    </row>
    <row r="1307" spans="1:7" x14ac:dyDescent="0.3">
      <c r="A1307" s="2" t="s">
        <v>94</v>
      </c>
      <c r="B1307" s="2" t="s">
        <v>97</v>
      </c>
      <c r="C1307" s="2" t="s">
        <v>67</v>
      </c>
      <c r="D1307" s="2" t="s">
        <v>24</v>
      </c>
      <c r="E1307" s="2" t="s">
        <v>161</v>
      </c>
      <c r="F1307" s="2">
        <v>2.5838253305222452</v>
      </c>
      <c r="G1307" s="2" t="str">
        <f>Table1_1[[#This Row],[Country Name]]&amp;"|"&amp;Table1_1[[#This Row],[Series Name]]&amp;"|"&amp;Table1_1[[#This Row],[Years]]</f>
        <v>United States|GDP growth (annual %)|2019</v>
      </c>
    </row>
    <row r="1308" spans="1:7" x14ac:dyDescent="0.3">
      <c r="A1308" s="2" t="s">
        <v>94</v>
      </c>
      <c r="B1308" s="2" t="s">
        <v>97</v>
      </c>
      <c r="C1308" s="2" t="s">
        <v>67</v>
      </c>
      <c r="D1308" s="2" t="s">
        <v>24</v>
      </c>
      <c r="E1308" s="2" t="s">
        <v>162</v>
      </c>
      <c r="F1308" s="2">
        <v>-2.0813759777960001</v>
      </c>
      <c r="G1308" s="2" t="str">
        <f>Table1_1[[#This Row],[Country Name]]&amp;"|"&amp;Table1_1[[#This Row],[Series Name]]&amp;"|"&amp;Table1_1[[#This Row],[Years]]</f>
        <v>United States|GDP growth (annual %)|2020</v>
      </c>
    </row>
    <row r="1309" spans="1:7" x14ac:dyDescent="0.3">
      <c r="A1309" s="2" t="s">
        <v>94</v>
      </c>
      <c r="B1309" s="2" t="s">
        <v>97</v>
      </c>
      <c r="C1309" s="2" t="s">
        <v>67</v>
      </c>
      <c r="D1309" s="2" t="s">
        <v>24</v>
      </c>
      <c r="E1309" s="2" t="s">
        <v>163</v>
      </c>
      <c r="F1309" s="2">
        <v>6.1520224786752635</v>
      </c>
      <c r="G1309" s="2" t="str">
        <f>Table1_1[[#This Row],[Country Name]]&amp;"|"&amp;Table1_1[[#This Row],[Series Name]]&amp;"|"&amp;Table1_1[[#This Row],[Years]]</f>
        <v>United States|GDP growth (annual %)|2021</v>
      </c>
    </row>
    <row r="1310" spans="1:7" x14ac:dyDescent="0.3">
      <c r="A1310" s="2" t="s">
        <v>94</v>
      </c>
      <c r="B1310" s="2" t="s">
        <v>97</v>
      </c>
      <c r="C1310" s="2" t="s">
        <v>67</v>
      </c>
      <c r="D1310" s="2" t="s">
        <v>24</v>
      </c>
      <c r="E1310" s="2" t="s">
        <v>164</v>
      </c>
      <c r="F1310" s="2">
        <v>2.5242138507322238</v>
      </c>
      <c r="G1310" s="2" t="str">
        <f>Table1_1[[#This Row],[Country Name]]&amp;"|"&amp;Table1_1[[#This Row],[Series Name]]&amp;"|"&amp;Table1_1[[#This Row],[Years]]</f>
        <v>United States|GDP growth (annual %)|2022</v>
      </c>
    </row>
    <row r="1311" spans="1:7" x14ac:dyDescent="0.3">
      <c r="A1311" s="2" t="s">
        <v>94</v>
      </c>
      <c r="B1311" s="2" t="s">
        <v>97</v>
      </c>
      <c r="C1311" s="2" t="s">
        <v>67</v>
      </c>
      <c r="D1311" s="2" t="s">
        <v>24</v>
      </c>
      <c r="E1311" s="2" t="s">
        <v>165</v>
      </c>
      <c r="F1311" s="2">
        <v>2.934363224401551</v>
      </c>
      <c r="G1311" s="2" t="str">
        <f>Table1_1[[#This Row],[Country Name]]&amp;"|"&amp;Table1_1[[#This Row],[Series Name]]&amp;"|"&amp;Table1_1[[#This Row],[Years]]</f>
        <v>United States|GDP growth (annual %)|2023</v>
      </c>
    </row>
    <row r="1312" spans="1:7" x14ac:dyDescent="0.3">
      <c r="A1312" s="2" t="s">
        <v>94</v>
      </c>
      <c r="B1312" s="2" t="s">
        <v>97</v>
      </c>
      <c r="C1312" s="2" t="s">
        <v>67</v>
      </c>
      <c r="D1312" s="2" t="s">
        <v>24</v>
      </c>
      <c r="E1312" s="2" t="s">
        <v>166</v>
      </c>
      <c r="F1312" s="2">
        <v>2.7931871536384136</v>
      </c>
      <c r="G1312" s="2" t="str">
        <f>Table1_1[[#This Row],[Country Name]]&amp;"|"&amp;Table1_1[[#This Row],[Series Name]]&amp;"|"&amp;Table1_1[[#This Row],[Years]]</f>
        <v>United States|GDP growth (annual %)|2024</v>
      </c>
    </row>
    <row r="1313" spans="1:7" x14ac:dyDescent="0.3">
      <c r="A1313" s="2" t="s">
        <v>94</v>
      </c>
      <c r="B1313" s="2" t="s">
        <v>97</v>
      </c>
      <c r="C1313" s="2" t="s">
        <v>67</v>
      </c>
      <c r="D1313" s="2" t="s">
        <v>24</v>
      </c>
      <c r="E1313" s="2" t="s">
        <v>167</v>
      </c>
      <c r="F1313" s="2">
        <v>2.1613819562385572</v>
      </c>
      <c r="G1313" s="2" t="str">
        <f>Table1_1[[#This Row],[Country Name]]&amp;"|"&amp;Table1_1[[#This Row],[Series Name]]&amp;"|"&amp;Table1_1[[#This Row],[Years]]</f>
        <v>United States|GDP growth (annual %)|2025</v>
      </c>
    </row>
    <row r="1314" spans="1:7" x14ac:dyDescent="0.3">
      <c r="A1314" s="2" t="s">
        <v>94</v>
      </c>
      <c r="B1314" s="2" t="s">
        <v>97</v>
      </c>
      <c r="C1314" s="2" t="s">
        <v>79</v>
      </c>
      <c r="D1314" s="2" t="s">
        <v>91</v>
      </c>
      <c r="E1314" s="2" t="s">
        <v>152</v>
      </c>
      <c r="F1314" s="2">
        <v>1.640043442389904</v>
      </c>
      <c r="G1314" s="2" t="str">
        <f>Table1_1[[#This Row],[Country Name]]&amp;"|"&amp;Table1_1[[#This Row],[Series Name]]&amp;"|"&amp;Table1_1[[#This Row],[Years]]</f>
        <v>United States|Inflation, consumer prices (annual %)|2010</v>
      </c>
    </row>
    <row r="1315" spans="1:7" x14ac:dyDescent="0.3">
      <c r="A1315" s="2" t="s">
        <v>94</v>
      </c>
      <c r="B1315" s="2" t="s">
        <v>97</v>
      </c>
      <c r="C1315" s="2" t="s">
        <v>79</v>
      </c>
      <c r="D1315" s="2" t="s">
        <v>91</v>
      </c>
      <c r="E1315" s="2" t="s">
        <v>153</v>
      </c>
      <c r="F1315" s="2">
        <v>3.1568415686220002</v>
      </c>
      <c r="G1315" s="2" t="str">
        <f>Table1_1[[#This Row],[Country Name]]&amp;"|"&amp;Table1_1[[#This Row],[Series Name]]&amp;"|"&amp;Table1_1[[#This Row],[Years]]</f>
        <v>United States|Inflation, consumer prices (annual %)|2011</v>
      </c>
    </row>
    <row r="1316" spans="1:7" x14ac:dyDescent="0.3">
      <c r="A1316" s="2" t="s">
        <v>94</v>
      </c>
      <c r="B1316" s="2" t="s">
        <v>97</v>
      </c>
      <c r="C1316" s="2" t="s">
        <v>79</v>
      </c>
      <c r="D1316" s="2" t="s">
        <v>91</v>
      </c>
      <c r="E1316" s="2" t="s">
        <v>154</v>
      </c>
      <c r="F1316" s="2">
        <v>2.0693372652606659</v>
      </c>
      <c r="G1316" s="2" t="str">
        <f>Table1_1[[#This Row],[Country Name]]&amp;"|"&amp;Table1_1[[#This Row],[Series Name]]&amp;"|"&amp;Table1_1[[#This Row],[Years]]</f>
        <v>United States|Inflation, consumer prices (annual %)|2012</v>
      </c>
    </row>
    <row r="1317" spans="1:7" x14ac:dyDescent="0.3">
      <c r="A1317" s="2" t="s">
        <v>94</v>
      </c>
      <c r="B1317" s="2" t="s">
        <v>97</v>
      </c>
      <c r="C1317" s="2" t="s">
        <v>79</v>
      </c>
      <c r="D1317" s="2" t="s">
        <v>91</v>
      </c>
      <c r="E1317" s="2" t="s">
        <v>155</v>
      </c>
      <c r="F1317" s="2">
        <v>1.4648326556271669</v>
      </c>
      <c r="G1317" s="2" t="str">
        <f>Table1_1[[#This Row],[Country Name]]&amp;"|"&amp;Table1_1[[#This Row],[Series Name]]&amp;"|"&amp;Table1_1[[#This Row],[Years]]</f>
        <v>United States|Inflation, consumer prices (annual %)|2013</v>
      </c>
    </row>
    <row r="1318" spans="1:7" x14ac:dyDescent="0.3">
      <c r="A1318" s="2" t="s">
        <v>94</v>
      </c>
      <c r="B1318" s="2" t="s">
        <v>97</v>
      </c>
      <c r="C1318" s="2" t="s">
        <v>79</v>
      </c>
      <c r="D1318" s="2" t="s">
        <v>91</v>
      </c>
      <c r="E1318" s="2" t="s">
        <v>156</v>
      </c>
      <c r="F1318" s="2">
        <v>1.622222977408174</v>
      </c>
      <c r="G1318" s="2" t="str">
        <f>Table1_1[[#This Row],[Country Name]]&amp;"|"&amp;Table1_1[[#This Row],[Series Name]]&amp;"|"&amp;Table1_1[[#This Row],[Years]]</f>
        <v>United States|Inflation, consumer prices (annual %)|2014</v>
      </c>
    </row>
    <row r="1319" spans="1:7" x14ac:dyDescent="0.3">
      <c r="A1319" s="2" t="s">
        <v>94</v>
      </c>
      <c r="B1319" s="2" t="s">
        <v>97</v>
      </c>
      <c r="C1319" s="2" t="s">
        <v>79</v>
      </c>
      <c r="D1319" s="2" t="s">
        <v>91</v>
      </c>
      <c r="E1319" s="2" t="s">
        <v>157</v>
      </c>
      <c r="F1319" s="2">
        <v>0.11862713555245059</v>
      </c>
      <c r="G1319" s="2" t="str">
        <f>Table1_1[[#This Row],[Country Name]]&amp;"|"&amp;Table1_1[[#This Row],[Series Name]]&amp;"|"&amp;Table1_1[[#This Row],[Years]]</f>
        <v>United States|Inflation, consumer prices (annual %)|2015</v>
      </c>
    </row>
    <row r="1320" spans="1:7" x14ac:dyDescent="0.3">
      <c r="A1320" s="2" t="s">
        <v>94</v>
      </c>
      <c r="B1320" s="2" t="s">
        <v>97</v>
      </c>
      <c r="C1320" s="2" t="s">
        <v>79</v>
      </c>
      <c r="D1320" s="2" t="s">
        <v>91</v>
      </c>
      <c r="E1320" s="2" t="s">
        <v>158</v>
      </c>
      <c r="F1320" s="2">
        <v>1.261583205705358</v>
      </c>
      <c r="G1320" s="2" t="str">
        <f>Table1_1[[#This Row],[Country Name]]&amp;"|"&amp;Table1_1[[#This Row],[Series Name]]&amp;"|"&amp;Table1_1[[#This Row],[Years]]</f>
        <v>United States|Inflation, consumer prices (annual %)|2016</v>
      </c>
    </row>
    <row r="1321" spans="1:7" x14ac:dyDescent="0.3">
      <c r="A1321" s="2" t="s">
        <v>94</v>
      </c>
      <c r="B1321" s="2" t="s">
        <v>97</v>
      </c>
      <c r="C1321" s="2" t="s">
        <v>79</v>
      </c>
      <c r="D1321" s="2" t="s">
        <v>91</v>
      </c>
      <c r="E1321" s="2" t="s">
        <v>159</v>
      </c>
      <c r="F1321" s="2">
        <v>2.1301100036596119</v>
      </c>
      <c r="G1321" s="2" t="str">
        <f>Table1_1[[#This Row],[Country Name]]&amp;"|"&amp;Table1_1[[#This Row],[Series Name]]&amp;"|"&amp;Table1_1[[#This Row],[Years]]</f>
        <v>United States|Inflation, consumer prices (annual %)|2017</v>
      </c>
    </row>
    <row r="1322" spans="1:7" x14ac:dyDescent="0.3">
      <c r="A1322" s="2" t="s">
        <v>94</v>
      </c>
      <c r="B1322" s="2" t="s">
        <v>97</v>
      </c>
      <c r="C1322" s="2" t="s">
        <v>79</v>
      </c>
      <c r="D1322" s="2" t="s">
        <v>91</v>
      </c>
      <c r="E1322" s="2" t="s">
        <v>160</v>
      </c>
      <c r="F1322" s="2">
        <v>2.442583296928166</v>
      </c>
      <c r="G1322" s="2" t="str">
        <f>Table1_1[[#This Row],[Country Name]]&amp;"|"&amp;Table1_1[[#This Row],[Series Name]]&amp;"|"&amp;Table1_1[[#This Row],[Years]]</f>
        <v>United States|Inflation, consumer prices (annual %)|2018</v>
      </c>
    </row>
    <row r="1323" spans="1:7" x14ac:dyDescent="0.3">
      <c r="A1323" s="2" t="s">
        <v>94</v>
      </c>
      <c r="B1323" s="2" t="s">
        <v>97</v>
      </c>
      <c r="C1323" s="2" t="s">
        <v>79</v>
      </c>
      <c r="D1323" s="2" t="s">
        <v>91</v>
      </c>
      <c r="E1323" s="2" t="s">
        <v>161</v>
      </c>
      <c r="F1323" s="2">
        <v>1.8122100752602051</v>
      </c>
      <c r="G1323" s="2" t="str">
        <f>Table1_1[[#This Row],[Country Name]]&amp;"|"&amp;Table1_1[[#This Row],[Series Name]]&amp;"|"&amp;Table1_1[[#This Row],[Years]]</f>
        <v>United States|Inflation, consumer prices (annual %)|2019</v>
      </c>
    </row>
    <row r="1324" spans="1:7" x14ac:dyDescent="0.3">
      <c r="A1324" s="2" t="s">
        <v>94</v>
      </c>
      <c r="B1324" s="2" t="s">
        <v>97</v>
      </c>
      <c r="C1324" s="2" t="s">
        <v>79</v>
      </c>
      <c r="D1324" s="2" t="s">
        <v>91</v>
      </c>
      <c r="E1324" s="2" t="s">
        <v>162</v>
      </c>
      <c r="F1324" s="2">
        <v>1.2335843963062929</v>
      </c>
      <c r="G1324" s="2" t="str">
        <f>Table1_1[[#This Row],[Country Name]]&amp;"|"&amp;Table1_1[[#This Row],[Series Name]]&amp;"|"&amp;Table1_1[[#This Row],[Years]]</f>
        <v>United States|Inflation, consumer prices (annual %)|2020</v>
      </c>
    </row>
    <row r="1325" spans="1:7" x14ac:dyDescent="0.3">
      <c r="A1325" s="2" t="s">
        <v>94</v>
      </c>
      <c r="B1325" s="2" t="s">
        <v>97</v>
      </c>
      <c r="C1325" s="2" t="s">
        <v>79</v>
      </c>
      <c r="D1325" s="2" t="s">
        <v>91</v>
      </c>
      <c r="E1325" s="2" t="s">
        <v>163</v>
      </c>
      <c r="F1325" s="2">
        <v>4.6978588636374212</v>
      </c>
      <c r="G1325" s="2" t="str">
        <f>Table1_1[[#This Row],[Country Name]]&amp;"|"&amp;Table1_1[[#This Row],[Series Name]]&amp;"|"&amp;Table1_1[[#This Row],[Years]]</f>
        <v>United States|Inflation, consumer prices (annual %)|2021</v>
      </c>
    </row>
    <row r="1326" spans="1:7" x14ac:dyDescent="0.3">
      <c r="A1326" s="2" t="s">
        <v>94</v>
      </c>
      <c r="B1326" s="2" t="s">
        <v>97</v>
      </c>
      <c r="C1326" s="2" t="s">
        <v>79</v>
      </c>
      <c r="D1326" s="2" t="s">
        <v>91</v>
      </c>
      <c r="E1326" s="2" t="s">
        <v>164</v>
      </c>
      <c r="F1326" s="2">
        <v>8.0027998205212096</v>
      </c>
      <c r="G1326" s="2" t="str">
        <f>Table1_1[[#This Row],[Country Name]]&amp;"|"&amp;Table1_1[[#This Row],[Series Name]]&amp;"|"&amp;Table1_1[[#This Row],[Years]]</f>
        <v>United States|Inflation, consumer prices (annual %)|2022</v>
      </c>
    </row>
    <row r="1327" spans="1:7" x14ac:dyDescent="0.3">
      <c r="A1327" s="2" t="s">
        <v>94</v>
      </c>
      <c r="B1327" s="2" t="s">
        <v>97</v>
      </c>
      <c r="C1327" s="2" t="s">
        <v>79</v>
      </c>
      <c r="D1327" s="2" t="s">
        <v>91</v>
      </c>
      <c r="E1327" s="2" t="s">
        <v>165</v>
      </c>
      <c r="F1327" s="2">
        <v>4.1163383837448784</v>
      </c>
      <c r="G1327" s="2" t="str">
        <f>Table1_1[[#This Row],[Country Name]]&amp;"|"&amp;Table1_1[[#This Row],[Series Name]]&amp;"|"&amp;Table1_1[[#This Row],[Years]]</f>
        <v>United States|Inflation, consumer prices (annual %)|2023</v>
      </c>
    </row>
    <row r="1328" spans="1:7" x14ac:dyDescent="0.3">
      <c r="A1328" s="2" t="s">
        <v>94</v>
      </c>
      <c r="B1328" s="2" t="s">
        <v>97</v>
      </c>
      <c r="C1328" s="2" t="s">
        <v>79</v>
      </c>
      <c r="D1328" s="2" t="s">
        <v>91</v>
      </c>
      <c r="E1328" s="2" t="s">
        <v>166</v>
      </c>
      <c r="F1328" s="2">
        <v>2.949525204852073</v>
      </c>
      <c r="G1328" s="2" t="str">
        <f>Table1_1[[#This Row],[Country Name]]&amp;"|"&amp;Table1_1[[#This Row],[Series Name]]&amp;"|"&amp;Table1_1[[#This Row],[Years]]</f>
        <v>United States|Inflation, consumer prices (annual %)|2024</v>
      </c>
    </row>
    <row r="1329" spans="1:7" x14ac:dyDescent="0.3">
      <c r="A1329" s="2" t="s">
        <v>94</v>
      </c>
      <c r="B1329" s="2" t="s">
        <v>97</v>
      </c>
      <c r="C1329" s="2" t="s">
        <v>79</v>
      </c>
      <c r="D1329" s="2" t="s">
        <v>91</v>
      </c>
      <c r="E1329" s="2" t="s">
        <v>167</v>
      </c>
      <c r="G1329" s="2" t="str">
        <f>Table1_1[[#This Row],[Country Name]]&amp;"|"&amp;Table1_1[[#This Row],[Series Name]]&amp;"|"&amp;Table1_1[[#This Row],[Years]]</f>
        <v>United States|Inflation, consumer prices (annual %)|2025</v>
      </c>
    </row>
    <row r="1330" spans="1:7" x14ac:dyDescent="0.3">
      <c r="A1330" s="2" t="s">
        <v>94</v>
      </c>
      <c r="B1330" s="2" t="s">
        <v>97</v>
      </c>
      <c r="C1330" s="2" t="s">
        <v>146</v>
      </c>
      <c r="D1330" s="2" t="s">
        <v>131</v>
      </c>
      <c r="E1330" s="2" t="s">
        <v>152</v>
      </c>
      <c r="F1330" s="2">
        <v>9.6329999999999991</v>
      </c>
      <c r="G1330" s="2" t="str">
        <f>Table1_1[[#This Row],[Country Name]]&amp;"|"&amp;Table1_1[[#This Row],[Series Name]]&amp;"|"&amp;Table1_1[[#This Row],[Years]]</f>
        <v>United States|Unemployment, total (% of total labor force) (modeled ILO estimate)|2010</v>
      </c>
    </row>
    <row r="1331" spans="1:7" x14ac:dyDescent="0.3">
      <c r="A1331" s="2" t="s">
        <v>94</v>
      </c>
      <c r="B1331" s="2" t="s">
        <v>97</v>
      </c>
      <c r="C1331" s="2" t="s">
        <v>146</v>
      </c>
      <c r="D1331" s="2" t="s">
        <v>131</v>
      </c>
      <c r="E1331" s="2" t="s">
        <v>153</v>
      </c>
      <c r="F1331" s="2">
        <v>8.9489999999999998</v>
      </c>
      <c r="G1331" s="2" t="str">
        <f>Table1_1[[#This Row],[Country Name]]&amp;"|"&amp;Table1_1[[#This Row],[Series Name]]&amp;"|"&amp;Table1_1[[#This Row],[Years]]</f>
        <v>United States|Unemployment, total (% of total labor force) (modeled ILO estimate)|2011</v>
      </c>
    </row>
    <row r="1332" spans="1:7" x14ac:dyDescent="0.3">
      <c r="A1332" s="2" t="s">
        <v>94</v>
      </c>
      <c r="B1332" s="2" t="s">
        <v>97</v>
      </c>
      <c r="C1332" s="2" t="s">
        <v>146</v>
      </c>
      <c r="D1332" s="2" t="s">
        <v>131</v>
      </c>
      <c r="E1332" s="2" t="s">
        <v>154</v>
      </c>
      <c r="F1332" s="2">
        <v>8.0690000000000008</v>
      </c>
      <c r="G1332" s="2" t="str">
        <f>Table1_1[[#This Row],[Country Name]]&amp;"|"&amp;Table1_1[[#This Row],[Series Name]]&amp;"|"&amp;Table1_1[[#This Row],[Years]]</f>
        <v>United States|Unemployment, total (% of total labor force) (modeled ILO estimate)|2012</v>
      </c>
    </row>
    <row r="1333" spans="1:7" x14ac:dyDescent="0.3">
      <c r="A1333" s="2" t="s">
        <v>94</v>
      </c>
      <c r="B1333" s="2" t="s">
        <v>97</v>
      </c>
      <c r="C1333" s="2" t="s">
        <v>146</v>
      </c>
      <c r="D1333" s="2" t="s">
        <v>131</v>
      </c>
      <c r="E1333" s="2" t="s">
        <v>155</v>
      </c>
      <c r="F1333" s="2">
        <v>7.375</v>
      </c>
      <c r="G1333" s="2" t="str">
        <f>Table1_1[[#This Row],[Country Name]]&amp;"|"&amp;Table1_1[[#This Row],[Series Name]]&amp;"|"&amp;Table1_1[[#This Row],[Years]]</f>
        <v>United States|Unemployment, total (% of total labor force) (modeled ILO estimate)|2013</v>
      </c>
    </row>
    <row r="1334" spans="1:7" x14ac:dyDescent="0.3">
      <c r="A1334" s="2" t="s">
        <v>94</v>
      </c>
      <c r="B1334" s="2" t="s">
        <v>97</v>
      </c>
      <c r="C1334" s="2" t="s">
        <v>146</v>
      </c>
      <c r="D1334" s="2" t="s">
        <v>131</v>
      </c>
      <c r="E1334" s="2" t="s">
        <v>156</v>
      </c>
      <c r="F1334" s="2">
        <v>6.1680000000000001</v>
      </c>
      <c r="G1334" s="2" t="str">
        <f>Table1_1[[#This Row],[Country Name]]&amp;"|"&amp;Table1_1[[#This Row],[Series Name]]&amp;"|"&amp;Table1_1[[#This Row],[Years]]</f>
        <v>United States|Unemployment, total (% of total labor force) (modeled ILO estimate)|2014</v>
      </c>
    </row>
    <row r="1335" spans="1:7" x14ac:dyDescent="0.3">
      <c r="A1335" s="2" t="s">
        <v>94</v>
      </c>
      <c r="B1335" s="2" t="s">
        <v>97</v>
      </c>
      <c r="C1335" s="2" t="s">
        <v>146</v>
      </c>
      <c r="D1335" s="2" t="s">
        <v>131</v>
      </c>
      <c r="E1335" s="2" t="s">
        <v>157</v>
      </c>
      <c r="F1335" s="2">
        <v>5.28</v>
      </c>
      <c r="G1335" s="2" t="str">
        <f>Table1_1[[#This Row],[Country Name]]&amp;"|"&amp;Table1_1[[#This Row],[Series Name]]&amp;"|"&amp;Table1_1[[#This Row],[Years]]</f>
        <v>United States|Unemployment, total (% of total labor force) (modeled ILO estimate)|2015</v>
      </c>
    </row>
    <row r="1336" spans="1:7" x14ac:dyDescent="0.3">
      <c r="A1336" s="2" t="s">
        <v>94</v>
      </c>
      <c r="B1336" s="2" t="s">
        <v>97</v>
      </c>
      <c r="C1336" s="2" t="s">
        <v>146</v>
      </c>
      <c r="D1336" s="2" t="s">
        <v>131</v>
      </c>
      <c r="E1336" s="2" t="s">
        <v>158</v>
      </c>
      <c r="F1336" s="2">
        <v>4.8689999999999998</v>
      </c>
      <c r="G1336" s="2" t="str">
        <f>Table1_1[[#This Row],[Country Name]]&amp;"|"&amp;Table1_1[[#This Row],[Series Name]]&amp;"|"&amp;Table1_1[[#This Row],[Years]]</f>
        <v>United States|Unemployment, total (% of total labor force) (modeled ILO estimate)|2016</v>
      </c>
    </row>
    <row r="1337" spans="1:7" x14ac:dyDescent="0.3">
      <c r="A1337" s="2" t="s">
        <v>94</v>
      </c>
      <c r="B1337" s="2" t="s">
        <v>97</v>
      </c>
      <c r="C1337" s="2" t="s">
        <v>146</v>
      </c>
      <c r="D1337" s="2" t="s">
        <v>131</v>
      </c>
      <c r="E1337" s="2" t="s">
        <v>159</v>
      </c>
      <c r="F1337" s="2">
        <v>4.3550000000000004</v>
      </c>
      <c r="G1337" s="2" t="str">
        <f>Table1_1[[#This Row],[Country Name]]&amp;"|"&amp;Table1_1[[#This Row],[Series Name]]&amp;"|"&amp;Table1_1[[#This Row],[Years]]</f>
        <v>United States|Unemployment, total (% of total labor force) (modeled ILO estimate)|2017</v>
      </c>
    </row>
    <row r="1338" spans="1:7" x14ac:dyDescent="0.3">
      <c r="A1338" s="2" t="s">
        <v>94</v>
      </c>
      <c r="B1338" s="2" t="s">
        <v>97</v>
      </c>
      <c r="C1338" s="2" t="s">
        <v>146</v>
      </c>
      <c r="D1338" s="2" t="s">
        <v>131</v>
      </c>
      <c r="E1338" s="2" t="s">
        <v>160</v>
      </c>
      <c r="F1338" s="2">
        <v>3.8959999999999999</v>
      </c>
      <c r="G1338" s="2" t="str">
        <f>Table1_1[[#This Row],[Country Name]]&amp;"|"&amp;Table1_1[[#This Row],[Series Name]]&amp;"|"&amp;Table1_1[[#This Row],[Years]]</f>
        <v>United States|Unemployment, total (% of total labor force) (modeled ILO estimate)|2018</v>
      </c>
    </row>
    <row r="1339" spans="1:7" x14ac:dyDescent="0.3">
      <c r="A1339" s="2" t="s">
        <v>94</v>
      </c>
      <c r="B1339" s="2" t="s">
        <v>97</v>
      </c>
      <c r="C1339" s="2" t="s">
        <v>146</v>
      </c>
      <c r="D1339" s="2" t="s">
        <v>131</v>
      </c>
      <c r="E1339" s="2" t="s">
        <v>161</v>
      </c>
      <c r="F1339" s="2">
        <v>3.669</v>
      </c>
      <c r="G1339" s="2" t="str">
        <f>Table1_1[[#This Row],[Country Name]]&amp;"|"&amp;Table1_1[[#This Row],[Series Name]]&amp;"|"&amp;Table1_1[[#This Row],[Years]]</f>
        <v>United States|Unemployment, total (% of total labor force) (modeled ILO estimate)|2019</v>
      </c>
    </row>
    <row r="1340" spans="1:7" x14ac:dyDescent="0.3">
      <c r="A1340" s="2" t="s">
        <v>94</v>
      </c>
      <c r="B1340" s="2" t="s">
        <v>97</v>
      </c>
      <c r="C1340" s="2" t="s">
        <v>146</v>
      </c>
      <c r="D1340" s="2" t="s">
        <v>131</v>
      </c>
      <c r="E1340" s="2" t="s">
        <v>162</v>
      </c>
      <c r="F1340" s="2">
        <v>8.0549999999999997</v>
      </c>
      <c r="G1340" s="2" t="str">
        <f>Table1_1[[#This Row],[Country Name]]&amp;"|"&amp;Table1_1[[#This Row],[Series Name]]&amp;"|"&amp;Table1_1[[#This Row],[Years]]</f>
        <v>United States|Unemployment, total (% of total labor force) (modeled ILO estimate)|2020</v>
      </c>
    </row>
    <row r="1341" spans="1:7" x14ac:dyDescent="0.3">
      <c r="A1341" s="2" t="s">
        <v>94</v>
      </c>
      <c r="B1341" s="2" t="s">
        <v>97</v>
      </c>
      <c r="C1341" s="2" t="s">
        <v>146</v>
      </c>
      <c r="D1341" s="2" t="s">
        <v>131</v>
      </c>
      <c r="E1341" s="2" t="s">
        <v>163</v>
      </c>
      <c r="F1341" s="2">
        <v>5.3490000000000002</v>
      </c>
      <c r="G1341" s="2" t="str">
        <f>Table1_1[[#This Row],[Country Name]]&amp;"|"&amp;Table1_1[[#This Row],[Series Name]]&amp;"|"&amp;Table1_1[[#This Row],[Years]]</f>
        <v>United States|Unemployment, total (% of total labor force) (modeled ILO estimate)|2021</v>
      </c>
    </row>
    <row r="1342" spans="1:7" x14ac:dyDescent="0.3">
      <c r="A1342" s="2" t="s">
        <v>94</v>
      </c>
      <c r="B1342" s="2" t="s">
        <v>97</v>
      </c>
      <c r="C1342" s="2" t="s">
        <v>146</v>
      </c>
      <c r="D1342" s="2" t="s">
        <v>131</v>
      </c>
      <c r="E1342" s="2" t="s">
        <v>164</v>
      </c>
      <c r="F1342" s="2">
        <v>3.65</v>
      </c>
      <c r="G1342" s="2" t="str">
        <f>Table1_1[[#This Row],[Country Name]]&amp;"|"&amp;Table1_1[[#This Row],[Series Name]]&amp;"|"&amp;Table1_1[[#This Row],[Years]]</f>
        <v>United States|Unemployment, total (% of total labor force) (modeled ILO estimate)|2022</v>
      </c>
    </row>
    <row r="1343" spans="1:7" x14ac:dyDescent="0.3">
      <c r="A1343" s="2" t="s">
        <v>94</v>
      </c>
      <c r="B1343" s="2" t="s">
        <v>97</v>
      </c>
      <c r="C1343" s="2" t="s">
        <v>146</v>
      </c>
      <c r="D1343" s="2" t="s">
        <v>131</v>
      </c>
      <c r="E1343" s="2" t="s">
        <v>165</v>
      </c>
      <c r="F1343" s="2">
        <v>3.6379999999999999</v>
      </c>
      <c r="G1343" s="2" t="str">
        <f>Table1_1[[#This Row],[Country Name]]&amp;"|"&amp;Table1_1[[#This Row],[Series Name]]&amp;"|"&amp;Table1_1[[#This Row],[Years]]</f>
        <v>United States|Unemployment, total (% of total labor force) (modeled ILO estimate)|2023</v>
      </c>
    </row>
    <row r="1344" spans="1:7" x14ac:dyDescent="0.3">
      <c r="A1344" s="2" t="s">
        <v>94</v>
      </c>
      <c r="B1344" s="2" t="s">
        <v>97</v>
      </c>
      <c r="C1344" s="2" t="s">
        <v>146</v>
      </c>
      <c r="D1344" s="2" t="s">
        <v>131</v>
      </c>
      <c r="E1344" s="2" t="s">
        <v>166</v>
      </c>
      <c r="F1344" s="2">
        <v>4.0220000000000002</v>
      </c>
      <c r="G1344" s="2" t="str">
        <f>Table1_1[[#This Row],[Country Name]]&amp;"|"&amp;Table1_1[[#This Row],[Series Name]]&amp;"|"&amp;Table1_1[[#This Row],[Years]]</f>
        <v>United States|Unemployment, total (% of total labor force) (modeled ILO estimate)|2024</v>
      </c>
    </row>
    <row r="1345" spans="1:7" x14ac:dyDescent="0.3">
      <c r="A1345" s="2" t="s">
        <v>94</v>
      </c>
      <c r="B1345" s="2" t="s">
        <v>97</v>
      </c>
      <c r="C1345" s="2" t="s">
        <v>146</v>
      </c>
      <c r="D1345" s="2" t="s">
        <v>131</v>
      </c>
      <c r="E1345" s="2" t="s">
        <v>167</v>
      </c>
      <c r="F1345" s="2">
        <v>4.1980000000000004</v>
      </c>
      <c r="G1345" s="2" t="str">
        <f>Table1_1[[#This Row],[Country Name]]&amp;"|"&amp;Table1_1[[#This Row],[Series Name]]&amp;"|"&amp;Table1_1[[#This Row],[Years]]</f>
        <v>United States|Unemployment, total (% of total labor force) (modeled ILO estimate)|2025</v>
      </c>
    </row>
    <row r="1346" spans="1:7" x14ac:dyDescent="0.3">
      <c r="A1346" s="2" t="s">
        <v>94</v>
      </c>
      <c r="B1346" s="2" t="s">
        <v>97</v>
      </c>
      <c r="C1346" s="2" t="s">
        <v>34</v>
      </c>
      <c r="D1346" s="2" t="s">
        <v>17</v>
      </c>
      <c r="E1346" s="2" t="s">
        <v>152</v>
      </c>
      <c r="F1346" s="2">
        <v>3.25</v>
      </c>
      <c r="G1346" s="2" t="str">
        <f>Table1_1[[#This Row],[Country Name]]&amp;"|"&amp;Table1_1[[#This Row],[Series Name]]&amp;"|"&amp;Table1_1[[#This Row],[Years]]</f>
        <v>United States|Lending interest rate (%)|2010</v>
      </c>
    </row>
    <row r="1347" spans="1:7" x14ac:dyDescent="0.3">
      <c r="A1347" s="2" t="s">
        <v>94</v>
      </c>
      <c r="B1347" s="2" t="s">
        <v>97</v>
      </c>
      <c r="C1347" s="2" t="s">
        <v>34</v>
      </c>
      <c r="D1347" s="2" t="s">
        <v>17</v>
      </c>
      <c r="E1347" s="2" t="s">
        <v>153</v>
      </c>
      <c r="F1347" s="2">
        <v>3.25</v>
      </c>
      <c r="G1347" s="2" t="str">
        <f>Table1_1[[#This Row],[Country Name]]&amp;"|"&amp;Table1_1[[#This Row],[Series Name]]&amp;"|"&amp;Table1_1[[#This Row],[Years]]</f>
        <v>United States|Lending interest rate (%)|2011</v>
      </c>
    </row>
    <row r="1348" spans="1:7" x14ac:dyDescent="0.3">
      <c r="A1348" s="2" t="s">
        <v>94</v>
      </c>
      <c r="B1348" s="2" t="s">
        <v>97</v>
      </c>
      <c r="C1348" s="2" t="s">
        <v>34</v>
      </c>
      <c r="D1348" s="2" t="s">
        <v>17</v>
      </c>
      <c r="E1348" s="2" t="s">
        <v>154</v>
      </c>
      <c r="F1348" s="2">
        <v>3.25</v>
      </c>
      <c r="G1348" s="2" t="str">
        <f>Table1_1[[#This Row],[Country Name]]&amp;"|"&amp;Table1_1[[#This Row],[Series Name]]&amp;"|"&amp;Table1_1[[#This Row],[Years]]</f>
        <v>United States|Lending interest rate (%)|2012</v>
      </c>
    </row>
    <row r="1349" spans="1:7" x14ac:dyDescent="0.3">
      <c r="A1349" s="2" t="s">
        <v>94</v>
      </c>
      <c r="B1349" s="2" t="s">
        <v>97</v>
      </c>
      <c r="C1349" s="2" t="s">
        <v>34</v>
      </c>
      <c r="D1349" s="2" t="s">
        <v>17</v>
      </c>
      <c r="E1349" s="2" t="s">
        <v>155</v>
      </c>
      <c r="F1349" s="2">
        <v>3.25</v>
      </c>
      <c r="G1349" s="2" t="str">
        <f>Table1_1[[#This Row],[Country Name]]&amp;"|"&amp;Table1_1[[#This Row],[Series Name]]&amp;"|"&amp;Table1_1[[#This Row],[Years]]</f>
        <v>United States|Lending interest rate (%)|2013</v>
      </c>
    </row>
    <row r="1350" spans="1:7" x14ac:dyDescent="0.3">
      <c r="A1350" s="2" t="s">
        <v>94</v>
      </c>
      <c r="B1350" s="2" t="s">
        <v>97</v>
      </c>
      <c r="C1350" s="2" t="s">
        <v>34</v>
      </c>
      <c r="D1350" s="2" t="s">
        <v>17</v>
      </c>
      <c r="E1350" s="2" t="s">
        <v>156</v>
      </c>
      <c r="F1350" s="2">
        <v>3.25</v>
      </c>
      <c r="G1350" s="2" t="str">
        <f>Table1_1[[#This Row],[Country Name]]&amp;"|"&amp;Table1_1[[#This Row],[Series Name]]&amp;"|"&amp;Table1_1[[#This Row],[Years]]</f>
        <v>United States|Lending interest rate (%)|2014</v>
      </c>
    </row>
    <row r="1351" spans="1:7" x14ac:dyDescent="0.3">
      <c r="A1351" s="2" t="s">
        <v>94</v>
      </c>
      <c r="B1351" s="2" t="s">
        <v>97</v>
      </c>
      <c r="C1351" s="2" t="s">
        <v>34</v>
      </c>
      <c r="D1351" s="2" t="s">
        <v>17</v>
      </c>
      <c r="E1351" s="2" t="s">
        <v>157</v>
      </c>
      <c r="F1351" s="2">
        <v>3.26</v>
      </c>
      <c r="G1351" s="2" t="str">
        <f>Table1_1[[#This Row],[Country Name]]&amp;"|"&amp;Table1_1[[#This Row],[Series Name]]&amp;"|"&amp;Table1_1[[#This Row],[Years]]</f>
        <v>United States|Lending interest rate (%)|2015</v>
      </c>
    </row>
    <row r="1352" spans="1:7" x14ac:dyDescent="0.3">
      <c r="A1352" s="2" t="s">
        <v>94</v>
      </c>
      <c r="B1352" s="2" t="s">
        <v>97</v>
      </c>
      <c r="C1352" s="2" t="s">
        <v>34</v>
      </c>
      <c r="D1352" s="2" t="s">
        <v>17</v>
      </c>
      <c r="E1352" s="2" t="s">
        <v>158</v>
      </c>
      <c r="F1352" s="2">
        <v>3.511666666666668</v>
      </c>
      <c r="G1352" s="2" t="str">
        <f>Table1_1[[#This Row],[Country Name]]&amp;"|"&amp;Table1_1[[#This Row],[Series Name]]&amp;"|"&amp;Table1_1[[#This Row],[Years]]</f>
        <v>United States|Lending interest rate (%)|2016</v>
      </c>
    </row>
    <row r="1353" spans="1:7" x14ac:dyDescent="0.3">
      <c r="A1353" s="2" t="s">
        <v>94</v>
      </c>
      <c r="B1353" s="2" t="s">
        <v>97</v>
      </c>
      <c r="C1353" s="2" t="s">
        <v>34</v>
      </c>
      <c r="D1353" s="2" t="s">
        <v>17</v>
      </c>
      <c r="E1353" s="2" t="s">
        <v>159</v>
      </c>
      <c r="F1353" s="2">
        <v>4.0966666666666676</v>
      </c>
      <c r="G1353" s="2" t="str">
        <f>Table1_1[[#This Row],[Country Name]]&amp;"|"&amp;Table1_1[[#This Row],[Series Name]]&amp;"|"&amp;Table1_1[[#This Row],[Years]]</f>
        <v>United States|Lending interest rate (%)|2017</v>
      </c>
    </row>
    <row r="1354" spans="1:7" x14ac:dyDescent="0.3">
      <c r="A1354" s="2" t="s">
        <v>94</v>
      </c>
      <c r="B1354" s="2" t="s">
        <v>97</v>
      </c>
      <c r="C1354" s="2" t="s">
        <v>34</v>
      </c>
      <c r="D1354" s="2" t="s">
        <v>17</v>
      </c>
      <c r="E1354" s="2" t="s">
        <v>160</v>
      </c>
      <c r="F1354" s="2">
        <v>4.904166666666665</v>
      </c>
      <c r="G1354" s="2" t="str">
        <f>Table1_1[[#This Row],[Country Name]]&amp;"|"&amp;Table1_1[[#This Row],[Series Name]]&amp;"|"&amp;Table1_1[[#This Row],[Years]]</f>
        <v>United States|Lending interest rate (%)|2018</v>
      </c>
    </row>
    <row r="1355" spans="1:7" x14ac:dyDescent="0.3">
      <c r="A1355" s="2" t="s">
        <v>94</v>
      </c>
      <c r="B1355" s="2" t="s">
        <v>97</v>
      </c>
      <c r="C1355" s="2" t="s">
        <v>34</v>
      </c>
      <c r="D1355" s="2" t="s">
        <v>17</v>
      </c>
      <c r="E1355" s="2" t="s">
        <v>161</v>
      </c>
      <c r="F1355" s="2">
        <v>5.2824999999999998</v>
      </c>
      <c r="G1355" s="2" t="str">
        <f>Table1_1[[#This Row],[Country Name]]&amp;"|"&amp;Table1_1[[#This Row],[Series Name]]&amp;"|"&amp;Table1_1[[#This Row],[Years]]</f>
        <v>United States|Lending interest rate (%)|2019</v>
      </c>
    </row>
    <row r="1356" spans="1:7" x14ac:dyDescent="0.3">
      <c r="A1356" s="2" t="s">
        <v>94</v>
      </c>
      <c r="B1356" s="2" t="s">
        <v>97</v>
      </c>
      <c r="C1356" s="2" t="s">
        <v>34</v>
      </c>
      <c r="D1356" s="2" t="s">
        <v>17</v>
      </c>
      <c r="E1356" s="2" t="s">
        <v>162</v>
      </c>
      <c r="F1356" s="2">
        <v>3.5441666666666678</v>
      </c>
      <c r="G1356" s="2" t="str">
        <f>Table1_1[[#This Row],[Country Name]]&amp;"|"&amp;Table1_1[[#This Row],[Series Name]]&amp;"|"&amp;Table1_1[[#This Row],[Years]]</f>
        <v>United States|Lending interest rate (%)|2020</v>
      </c>
    </row>
    <row r="1357" spans="1:7" x14ac:dyDescent="0.3">
      <c r="A1357" s="2" t="s">
        <v>94</v>
      </c>
      <c r="B1357" s="2" t="s">
        <v>97</v>
      </c>
      <c r="C1357" s="2" t="s">
        <v>34</v>
      </c>
      <c r="D1357" s="2" t="s">
        <v>17</v>
      </c>
      <c r="E1357" s="2" t="s">
        <v>163</v>
      </c>
      <c r="F1357" s="2">
        <v>3.25</v>
      </c>
      <c r="G1357" s="2" t="str">
        <f>Table1_1[[#This Row],[Country Name]]&amp;"|"&amp;Table1_1[[#This Row],[Series Name]]&amp;"|"&amp;Table1_1[[#This Row],[Years]]</f>
        <v>United States|Lending interest rate (%)|2021</v>
      </c>
    </row>
    <row r="1358" spans="1:7" x14ac:dyDescent="0.3">
      <c r="A1358" s="2" t="s">
        <v>94</v>
      </c>
      <c r="B1358" s="2" t="s">
        <v>97</v>
      </c>
      <c r="C1358" s="2" t="s">
        <v>34</v>
      </c>
      <c r="D1358" s="2" t="s">
        <v>17</v>
      </c>
      <c r="E1358" s="2" t="s">
        <v>164</v>
      </c>
      <c r="G1358" s="2" t="str">
        <f>Table1_1[[#This Row],[Country Name]]&amp;"|"&amp;Table1_1[[#This Row],[Series Name]]&amp;"|"&amp;Table1_1[[#This Row],[Years]]</f>
        <v>United States|Lending interest rate (%)|2022</v>
      </c>
    </row>
    <row r="1359" spans="1:7" x14ac:dyDescent="0.3">
      <c r="A1359" s="2" t="s">
        <v>94</v>
      </c>
      <c r="B1359" s="2" t="s">
        <v>97</v>
      </c>
      <c r="C1359" s="2" t="s">
        <v>34</v>
      </c>
      <c r="D1359" s="2" t="s">
        <v>17</v>
      </c>
      <c r="E1359" s="2" t="s">
        <v>165</v>
      </c>
      <c r="G1359" s="2" t="str">
        <f>Table1_1[[#This Row],[Country Name]]&amp;"|"&amp;Table1_1[[#This Row],[Series Name]]&amp;"|"&amp;Table1_1[[#This Row],[Years]]</f>
        <v>United States|Lending interest rate (%)|2023</v>
      </c>
    </row>
    <row r="1360" spans="1:7" x14ac:dyDescent="0.3">
      <c r="A1360" s="2" t="s">
        <v>94</v>
      </c>
      <c r="B1360" s="2" t="s">
        <v>97</v>
      </c>
      <c r="C1360" s="2" t="s">
        <v>34</v>
      </c>
      <c r="D1360" s="2" t="s">
        <v>17</v>
      </c>
      <c r="E1360" s="2" t="s">
        <v>166</v>
      </c>
      <c r="G1360" s="2" t="str">
        <f>Table1_1[[#This Row],[Country Name]]&amp;"|"&amp;Table1_1[[#This Row],[Series Name]]&amp;"|"&amp;Table1_1[[#This Row],[Years]]</f>
        <v>United States|Lending interest rate (%)|2024</v>
      </c>
    </row>
    <row r="1361" spans="1:7" x14ac:dyDescent="0.3">
      <c r="A1361" s="2" t="s">
        <v>94</v>
      </c>
      <c r="B1361" s="2" t="s">
        <v>97</v>
      </c>
      <c r="C1361" s="2" t="s">
        <v>34</v>
      </c>
      <c r="D1361" s="2" t="s">
        <v>17</v>
      </c>
      <c r="E1361" s="2" t="s">
        <v>167</v>
      </c>
      <c r="G1361" s="2" t="str">
        <f>Table1_1[[#This Row],[Country Name]]&amp;"|"&amp;Table1_1[[#This Row],[Series Name]]&amp;"|"&amp;Table1_1[[#This Row],[Years]]</f>
        <v>United States|Lending interest rate (%)|2025</v>
      </c>
    </row>
    <row r="1362" spans="1:7" x14ac:dyDescent="0.3">
      <c r="A1362" s="2" t="s">
        <v>94</v>
      </c>
      <c r="B1362" s="2" t="s">
        <v>97</v>
      </c>
      <c r="C1362" s="2" t="s">
        <v>83</v>
      </c>
      <c r="D1362" s="2" t="s">
        <v>72</v>
      </c>
      <c r="E1362" s="2" t="s">
        <v>152</v>
      </c>
      <c r="F1362" s="2">
        <v>1</v>
      </c>
      <c r="G1362" s="2" t="str">
        <f>Table1_1[[#This Row],[Country Name]]&amp;"|"&amp;Table1_1[[#This Row],[Series Name]]&amp;"|"&amp;Table1_1[[#This Row],[Years]]</f>
        <v>United States|Official exchange rate (LCU per US$, period average)|2010</v>
      </c>
    </row>
    <row r="1363" spans="1:7" x14ac:dyDescent="0.3">
      <c r="A1363" s="2" t="s">
        <v>94</v>
      </c>
      <c r="B1363" s="2" t="s">
        <v>97</v>
      </c>
      <c r="C1363" s="2" t="s">
        <v>83</v>
      </c>
      <c r="D1363" s="2" t="s">
        <v>72</v>
      </c>
      <c r="E1363" s="2" t="s">
        <v>153</v>
      </c>
      <c r="F1363" s="2">
        <v>1</v>
      </c>
      <c r="G1363" s="2" t="str">
        <f>Table1_1[[#This Row],[Country Name]]&amp;"|"&amp;Table1_1[[#This Row],[Series Name]]&amp;"|"&amp;Table1_1[[#This Row],[Years]]</f>
        <v>United States|Official exchange rate (LCU per US$, period average)|2011</v>
      </c>
    </row>
    <row r="1364" spans="1:7" x14ac:dyDescent="0.3">
      <c r="A1364" s="2" t="s">
        <v>94</v>
      </c>
      <c r="B1364" s="2" t="s">
        <v>97</v>
      </c>
      <c r="C1364" s="2" t="s">
        <v>83</v>
      </c>
      <c r="D1364" s="2" t="s">
        <v>72</v>
      </c>
      <c r="E1364" s="2" t="s">
        <v>154</v>
      </c>
      <c r="F1364" s="2">
        <v>1</v>
      </c>
      <c r="G1364" s="2" t="str">
        <f>Table1_1[[#This Row],[Country Name]]&amp;"|"&amp;Table1_1[[#This Row],[Series Name]]&amp;"|"&amp;Table1_1[[#This Row],[Years]]</f>
        <v>United States|Official exchange rate (LCU per US$, period average)|2012</v>
      </c>
    </row>
    <row r="1365" spans="1:7" x14ac:dyDescent="0.3">
      <c r="A1365" s="2" t="s">
        <v>94</v>
      </c>
      <c r="B1365" s="2" t="s">
        <v>97</v>
      </c>
      <c r="C1365" s="2" t="s">
        <v>83</v>
      </c>
      <c r="D1365" s="2" t="s">
        <v>72</v>
      </c>
      <c r="E1365" s="2" t="s">
        <v>155</v>
      </c>
      <c r="F1365" s="2">
        <v>1</v>
      </c>
      <c r="G1365" s="2" t="str">
        <f>Table1_1[[#This Row],[Country Name]]&amp;"|"&amp;Table1_1[[#This Row],[Series Name]]&amp;"|"&amp;Table1_1[[#This Row],[Years]]</f>
        <v>United States|Official exchange rate (LCU per US$, period average)|2013</v>
      </c>
    </row>
    <row r="1366" spans="1:7" x14ac:dyDescent="0.3">
      <c r="A1366" s="2" t="s">
        <v>94</v>
      </c>
      <c r="B1366" s="2" t="s">
        <v>97</v>
      </c>
      <c r="C1366" s="2" t="s">
        <v>83</v>
      </c>
      <c r="D1366" s="2" t="s">
        <v>72</v>
      </c>
      <c r="E1366" s="2" t="s">
        <v>156</v>
      </c>
      <c r="F1366" s="2">
        <v>1</v>
      </c>
      <c r="G1366" s="2" t="str">
        <f>Table1_1[[#This Row],[Country Name]]&amp;"|"&amp;Table1_1[[#This Row],[Series Name]]&amp;"|"&amp;Table1_1[[#This Row],[Years]]</f>
        <v>United States|Official exchange rate (LCU per US$, period average)|2014</v>
      </c>
    </row>
    <row r="1367" spans="1:7" x14ac:dyDescent="0.3">
      <c r="A1367" s="2" t="s">
        <v>94</v>
      </c>
      <c r="B1367" s="2" t="s">
        <v>97</v>
      </c>
      <c r="C1367" s="2" t="s">
        <v>83</v>
      </c>
      <c r="D1367" s="2" t="s">
        <v>72</v>
      </c>
      <c r="E1367" s="2" t="s">
        <v>157</v>
      </c>
      <c r="F1367" s="2">
        <v>1</v>
      </c>
      <c r="G1367" s="2" t="str">
        <f>Table1_1[[#This Row],[Country Name]]&amp;"|"&amp;Table1_1[[#This Row],[Series Name]]&amp;"|"&amp;Table1_1[[#This Row],[Years]]</f>
        <v>United States|Official exchange rate (LCU per US$, period average)|2015</v>
      </c>
    </row>
    <row r="1368" spans="1:7" x14ac:dyDescent="0.3">
      <c r="A1368" s="2" t="s">
        <v>94</v>
      </c>
      <c r="B1368" s="2" t="s">
        <v>97</v>
      </c>
      <c r="C1368" s="2" t="s">
        <v>83</v>
      </c>
      <c r="D1368" s="2" t="s">
        <v>72</v>
      </c>
      <c r="E1368" s="2" t="s">
        <v>158</v>
      </c>
      <c r="F1368" s="2">
        <v>1</v>
      </c>
      <c r="G1368" s="2" t="str">
        <f>Table1_1[[#This Row],[Country Name]]&amp;"|"&amp;Table1_1[[#This Row],[Series Name]]&amp;"|"&amp;Table1_1[[#This Row],[Years]]</f>
        <v>United States|Official exchange rate (LCU per US$, period average)|2016</v>
      </c>
    </row>
    <row r="1369" spans="1:7" x14ac:dyDescent="0.3">
      <c r="A1369" s="2" t="s">
        <v>94</v>
      </c>
      <c r="B1369" s="2" t="s">
        <v>97</v>
      </c>
      <c r="C1369" s="2" t="s">
        <v>83</v>
      </c>
      <c r="D1369" s="2" t="s">
        <v>72</v>
      </c>
      <c r="E1369" s="2" t="s">
        <v>159</v>
      </c>
      <c r="F1369" s="2">
        <v>1</v>
      </c>
      <c r="G1369" s="2" t="str">
        <f>Table1_1[[#This Row],[Country Name]]&amp;"|"&amp;Table1_1[[#This Row],[Series Name]]&amp;"|"&amp;Table1_1[[#This Row],[Years]]</f>
        <v>United States|Official exchange rate (LCU per US$, period average)|2017</v>
      </c>
    </row>
    <row r="1370" spans="1:7" x14ac:dyDescent="0.3">
      <c r="A1370" s="2" t="s">
        <v>94</v>
      </c>
      <c r="B1370" s="2" t="s">
        <v>97</v>
      </c>
      <c r="C1370" s="2" t="s">
        <v>83</v>
      </c>
      <c r="D1370" s="2" t="s">
        <v>72</v>
      </c>
      <c r="E1370" s="2" t="s">
        <v>160</v>
      </c>
      <c r="F1370" s="2">
        <v>1</v>
      </c>
      <c r="G1370" s="2" t="str">
        <f>Table1_1[[#This Row],[Country Name]]&amp;"|"&amp;Table1_1[[#This Row],[Series Name]]&amp;"|"&amp;Table1_1[[#This Row],[Years]]</f>
        <v>United States|Official exchange rate (LCU per US$, period average)|2018</v>
      </c>
    </row>
    <row r="1371" spans="1:7" x14ac:dyDescent="0.3">
      <c r="A1371" s="2" t="s">
        <v>94</v>
      </c>
      <c r="B1371" s="2" t="s">
        <v>97</v>
      </c>
      <c r="C1371" s="2" t="s">
        <v>83</v>
      </c>
      <c r="D1371" s="2" t="s">
        <v>72</v>
      </c>
      <c r="E1371" s="2" t="s">
        <v>161</v>
      </c>
      <c r="F1371" s="2">
        <v>1</v>
      </c>
      <c r="G1371" s="2" t="str">
        <f>Table1_1[[#This Row],[Country Name]]&amp;"|"&amp;Table1_1[[#This Row],[Series Name]]&amp;"|"&amp;Table1_1[[#This Row],[Years]]</f>
        <v>United States|Official exchange rate (LCU per US$, period average)|2019</v>
      </c>
    </row>
    <row r="1372" spans="1:7" x14ac:dyDescent="0.3">
      <c r="A1372" s="2" t="s">
        <v>94</v>
      </c>
      <c r="B1372" s="2" t="s">
        <v>97</v>
      </c>
      <c r="C1372" s="2" t="s">
        <v>83</v>
      </c>
      <c r="D1372" s="2" t="s">
        <v>72</v>
      </c>
      <c r="E1372" s="2" t="s">
        <v>162</v>
      </c>
      <c r="F1372" s="2">
        <v>1</v>
      </c>
      <c r="G1372" s="2" t="str">
        <f>Table1_1[[#This Row],[Country Name]]&amp;"|"&amp;Table1_1[[#This Row],[Series Name]]&amp;"|"&amp;Table1_1[[#This Row],[Years]]</f>
        <v>United States|Official exchange rate (LCU per US$, period average)|2020</v>
      </c>
    </row>
    <row r="1373" spans="1:7" x14ac:dyDescent="0.3">
      <c r="A1373" s="2" t="s">
        <v>94</v>
      </c>
      <c r="B1373" s="2" t="s">
        <v>97</v>
      </c>
      <c r="C1373" s="2" t="s">
        <v>83</v>
      </c>
      <c r="D1373" s="2" t="s">
        <v>72</v>
      </c>
      <c r="E1373" s="2" t="s">
        <v>163</v>
      </c>
      <c r="F1373" s="2">
        <v>1</v>
      </c>
      <c r="G1373" s="2" t="str">
        <f>Table1_1[[#This Row],[Country Name]]&amp;"|"&amp;Table1_1[[#This Row],[Series Name]]&amp;"|"&amp;Table1_1[[#This Row],[Years]]</f>
        <v>United States|Official exchange rate (LCU per US$, period average)|2021</v>
      </c>
    </row>
    <row r="1374" spans="1:7" x14ac:dyDescent="0.3">
      <c r="A1374" s="2" t="s">
        <v>94</v>
      </c>
      <c r="B1374" s="2" t="s">
        <v>97</v>
      </c>
      <c r="C1374" s="2" t="s">
        <v>83</v>
      </c>
      <c r="D1374" s="2" t="s">
        <v>72</v>
      </c>
      <c r="E1374" s="2" t="s">
        <v>164</v>
      </c>
      <c r="F1374" s="2">
        <v>1</v>
      </c>
      <c r="G1374" s="2" t="str">
        <f>Table1_1[[#This Row],[Country Name]]&amp;"|"&amp;Table1_1[[#This Row],[Series Name]]&amp;"|"&amp;Table1_1[[#This Row],[Years]]</f>
        <v>United States|Official exchange rate (LCU per US$, period average)|2022</v>
      </c>
    </row>
    <row r="1375" spans="1:7" x14ac:dyDescent="0.3">
      <c r="A1375" s="2" t="s">
        <v>94</v>
      </c>
      <c r="B1375" s="2" t="s">
        <v>97</v>
      </c>
      <c r="C1375" s="2" t="s">
        <v>83</v>
      </c>
      <c r="D1375" s="2" t="s">
        <v>72</v>
      </c>
      <c r="E1375" s="2" t="s">
        <v>165</v>
      </c>
      <c r="F1375" s="2">
        <v>1</v>
      </c>
      <c r="G1375" s="2" t="str">
        <f>Table1_1[[#This Row],[Country Name]]&amp;"|"&amp;Table1_1[[#This Row],[Series Name]]&amp;"|"&amp;Table1_1[[#This Row],[Years]]</f>
        <v>United States|Official exchange rate (LCU per US$, period average)|2023</v>
      </c>
    </row>
    <row r="1376" spans="1:7" x14ac:dyDescent="0.3">
      <c r="A1376" s="2" t="s">
        <v>94</v>
      </c>
      <c r="B1376" s="2" t="s">
        <v>97</v>
      </c>
      <c r="C1376" s="2" t="s">
        <v>83</v>
      </c>
      <c r="D1376" s="2" t="s">
        <v>72</v>
      </c>
      <c r="E1376" s="2" t="s">
        <v>166</v>
      </c>
      <c r="F1376" s="2">
        <v>1</v>
      </c>
      <c r="G1376" s="2" t="str">
        <f>Table1_1[[#This Row],[Country Name]]&amp;"|"&amp;Table1_1[[#This Row],[Series Name]]&amp;"|"&amp;Table1_1[[#This Row],[Years]]</f>
        <v>United States|Official exchange rate (LCU per US$, period average)|2024</v>
      </c>
    </row>
    <row r="1377" spans="1:7" x14ac:dyDescent="0.3">
      <c r="A1377" s="2" t="s">
        <v>94</v>
      </c>
      <c r="B1377" s="2" t="s">
        <v>97</v>
      </c>
      <c r="C1377" s="2" t="s">
        <v>83</v>
      </c>
      <c r="D1377" s="2" t="s">
        <v>72</v>
      </c>
      <c r="E1377" s="2" t="s">
        <v>167</v>
      </c>
      <c r="F1377" s="2">
        <v>1</v>
      </c>
      <c r="G1377" s="2" t="str">
        <f>Table1_1[[#This Row],[Country Name]]&amp;"|"&amp;Table1_1[[#This Row],[Series Name]]&amp;"|"&amp;Table1_1[[#This Row],[Years]]</f>
        <v>United States|Official exchange rate (LCU per US$, period average)|2025</v>
      </c>
    </row>
    <row r="1378" spans="1:7" x14ac:dyDescent="0.3">
      <c r="A1378" s="2" t="s">
        <v>94</v>
      </c>
      <c r="B1378" s="2" t="s">
        <v>97</v>
      </c>
      <c r="C1378" s="2" t="s">
        <v>70</v>
      </c>
      <c r="D1378" s="2" t="s">
        <v>147</v>
      </c>
      <c r="E1378" s="2" t="s">
        <v>152</v>
      </c>
      <c r="F1378" s="2">
        <v>12.341355432208621</v>
      </c>
      <c r="G1378" s="2" t="str">
        <f>Table1_1[[#This Row],[Country Name]]&amp;"|"&amp;Table1_1[[#This Row],[Series Name]]&amp;"|"&amp;Table1_1[[#This Row],[Years]]</f>
        <v>United States|Exports of goods and services (% of GDP)|2010</v>
      </c>
    </row>
    <row r="1379" spans="1:7" x14ac:dyDescent="0.3">
      <c r="A1379" s="2" t="s">
        <v>94</v>
      </c>
      <c r="B1379" s="2" t="s">
        <v>97</v>
      </c>
      <c r="C1379" s="2" t="s">
        <v>70</v>
      </c>
      <c r="D1379" s="2" t="s">
        <v>147</v>
      </c>
      <c r="E1379" s="2" t="s">
        <v>153</v>
      </c>
      <c r="F1379" s="2">
        <v>13.563463782582932</v>
      </c>
      <c r="G1379" s="2" t="str">
        <f>Table1_1[[#This Row],[Country Name]]&amp;"|"&amp;Table1_1[[#This Row],[Series Name]]&amp;"|"&amp;Table1_1[[#This Row],[Years]]</f>
        <v>United States|Exports of goods and services (% of GDP)|2011</v>
      </c>
    </row>
    <row r="1380" spans="1:7" x14ac:dyDescent="0.3">
      <c r="A1380" s="2" t="s">
        <v>94</v>
      </c>
      <c r="B1380" s="2" t="s">
        <v>97</v>
      </c>
      <c r="C1380" s="2" t="s">
        <v>70</v>
      </c>
      <c r="D1380" s="2" t="s">
        <v>147</v>
      </c>
      <c r="E1380" s="2" t="s">
        <v>154</v>
      </c>
      <c r="F1380" s="2">
        <v>13.644051268705429</v>
      </c>
      <c r="G1380" s="2" t="str">
        <f>Table1_1[[#This Row],[Country Name]]&amp;"|"&amp;Table1_1[[#This Row],[Series Name]]&amp;"|"&amp;Table1_1[[#This Row],[Years]]</f>
        <v>United States|Exports of goods and services (% of GDP)|2012</v>
      </c>
    </row>
    <row r="1381" spans="1:7" x14ac:dyDescent="0.3">
      <c r="A1381" s="2" t="s">
        <v>94</v>
      </c>
      <c r="B1381" s="2" t="s">
        <v>97</v>
      </c>
      <c r="C1381" s="2" t="s">
        <v>70</v>
      </c>
      <c r="D1381" s="2" t="s">
        <v>147</v>
      </c>
      <c r="E1381" s="2" t="s">
        <v>155</v>
      </c>
      <c r="F1381" s="2">
        <v>13.553491881815447</v>
      </c>
      <c r="G1381" s="2" t="str">
        <f>Table1_1[[#This Row],[Country Name]]&amp;"|"&amp;Table1_1[[#This Row],[Series Name]]&amp;"|"&amp;Table1_1[[#This Row],[Years]]</f>
        <v>United States|Exports of goods and services (% of GDP)|2013</v>
      </c>
    </row>
    <row r="1382" spans="1:7" x14ac:dyDescent="0.3">
      <c r="A1382" s="2" t="s">
        <v>94</v>
      </c>
      <c r="B1382" s="2" t="s">
        <v>97</v>
      </c>
      <c r="C1382" s="2" t="s">
        <v>70</v>
      </c>
      <c r="D1382" s="2" t="s">
        <v>147</v>
      </c>
      <c r="E1382" s="2" t="s">
        <v>156</v>
      </c>
      <c r="F1382" s="2">
        <v>13.508214213223454</v>
      </c>
      <c r="G1382" s="2" t="str">
        <f>Table1_1[[#This Row],[Country Name]]&amp;"|"&amp;Table1_1[[#This Row],[Series Name]]&amp;"|"&amp;Table1_1[[#This Row],[Years]]</f>
        <v>United States|Exports of goods and services (% of GDP)|2014</v>
      </c>
    </row>
    <row r="1383" spans="1:7" x14ac:dyDescent="0.3">
      <c r="A1383" s="2" t="s">
        <v>94</v>
      </c>
      <c r="B1383" s="2" t="s">
        <v>97</v>
      </c>
      <c r="C1383" s="2" t="s">
        <v>70</v>
      </c>
      <c r="D1383" s="2" t="s">
        <v>147</v>
      </c>
      <c r="E1383" s="2" t="s">
        <v>157</v>
      </c>
      <c r="F1383" s="2">
        <v>12.411148630127141</v>
      </c>
      <c r="G1383" s="2" t="str">
        <f>Table1_1[[#This Row],[Country Name]]&amp;"|"&amp;Table1_1[[#This Row],[Series Name]]&amp;"|"&amp;Table1_1[[#This Row],[Years]]</f>
        <v>United States|Exports of goods and services (% of GDP)|2015</v>
      </c>
    </row>
    <row r="1384" spans="1:7" x14ac:dyDescent="0.3">
      <c r="A1384" s="2" t="s">
        <v>94</v>
      </c>
      <c r="B1384" s="2" t="s">
        <v>97</v>
      </c>
      <c r="C1384" s="2" t="s">
        <v>70</v>
      </c>
      <c r="D1384" s="2" t="s">
        <v>147</v>
      </c>
      <c r="E1384" s="2" t="s">
        <v>158</v>
      </c>
      <c r="F1384" s="2">
        <v>11.888159227325328</v>
      </c>
      <c r="G1384" s="2" t="str">
        <f>Table1_1[[#This Row],[Country Name]]&amp;"|"&amp;Table1_1[[#This Row],[Series Name]]&amp;"|"&amp;Table1_1[[#This Row],[Years]]</f>
        <v>United States|Exports of goods and services (% of GDP)|2016</v>
      </c>
    </row>
    <row r="1385" spans="1:7" x14ac:dyDescent="0.3">
      <c r="A1385" s="2" t="s">
        <v>94</v>
      </c>
      <c r="B1385" s="2" t="s">
        <v>97</v>
      </c>
      <c r="C1385" s="2" t="s">
        <v>70</v>
      </c>
      <c r="D1385" s="2" t="s">
        <v>147</v>
      </c>
      <c r="E1385" s="2" t="s">
        <v>159</v>
      </c>
      <c r="F1385" s="2">
        <v>12.177481026766024</v>
      </c>
      <c r="G1385" s="2" t="str">
        <f>Table1_1[[#This Row],[Country Name]]&amp;"|"&amp;Table1_1[[#This Row],[Series Name]]&amp;"|"&amp;Table1_1[[#This Row],[Years]]</f>
        <v>United States|Exports of goods and services (% of GDP)|2017</v>
      </c>
    </row>
    <row r="1386" spans="1:7" x14ac:dyDescent="0.3">
      <c r="A1386" s="2" t="s">
        <v>94</v>
      </c>
      <c r="B1386" s="2" t="s">
        <v>97</v>
      </c>
      <c r="C1386" s="2" t="s">
        <v>70</v>
      </c>
      <c r="D1386" s="2" t="s">
        <v>147</v>
      </c>
      <c r="E1386" s="2" t="s">
        <v>160</v>
      </c>
      <c r="F1386" s="2">
        <v>12.287110759626648</v>
      </c>
      <c r="G1386" s="2" t="str">
        <f>Table1_1[[#This Row],[Country Name]]&amp;"|"&amp;Table1_1[[#This Row],[Series Name]]&amp;"|"&amp;Table1_1[[#This Row],[Years]]</f>
        <v>United States|Exports of goods and services (% of GDP)|2018</v>
      </c>
    </row>
    <row r="1387" spans="1:7" x14ac:dyDescent="0.3">
      <c r="A1387" s="2" t="s">
        <v>94</v>
      </c>
      <c r="B1387" s="2" t="s">
        <v>97</v>
      </c>
      <c r="C1387" s="2" t="s">
        <v>70</v>
      </c>
      <c r="D1387" s="2" t="s">
        <v>147</v>
      </c>
      <c r="E1387" s="2" t="s">
        <v>161</v>
      </c>
      <c r="F1387" s="2">
        <v>11.789197409728569</v>
      </c>
      <c r="G1387" s="2" t="str">
        <f>Table1_1[[#This Row],[Country Name]]&amp;"|"&amp;Table1_1[[#This Row],[Series Name]]&amp;"|"&amp;Table1_1[[#This Row],[Years]]</f>
        <v>United States|Exports of goods and services (% of GDP)|2019</v>
      </c>
    </row>
    <row r="1388" spans="1:7" x14ac:dyDescent="0.3">
      <c r="A1388" s="2" t="s">
        <v>94</v>
      </c>
      <c r="B1388" s="2" t="s">
        <v>97</v>
      </c>
      <c r="C1388" s="2" t="s">
        <v>70</v>
      </c>
      <c r="D1388" s="2" t="s">
        <v>147</v>
      </c>
      <c r="E1388" s="2" t="s">
        <v>162</v>
      </c>
      <c r="F1388" s="2">
        <v>10.123080955052707</v>
      </c>
      <c r="G1388" s="2" t="str">
        <f>Table1_1[[#This Row],[Country Name]]&amp;"|"&amp;Table1_1[[#This Row],[Series Name]]&amp;"|"&amp;Table1_1[[#This Row],[Years]]</f>
        <v>United States|Exports of goods and services (% of GDP)|2020</v>
      </c>
    </row>
    <row r="1389" spans="1:7" x14ac:dyDescent="0.3">
      <c r="A1389" s="2" t="s">
        <v>94</v>
      </c>
      <c r="B1389" s="2" t="s">
        <v>97</v>
      </c>
      <c r="C1389" s="2" t="s">
        <v>70</v>
      </c>
      <c r="D1389" s="2" t="s">
        <v>147</v>
      </c>
      <c r="E1389" s="2" t="s">
        <v>163</v>
      </c>
      <c r="F1389" s="2">
        <v>10.826668779710731</v>
      </c>
      <c r="G1389" s="2" t="str">
        <f>Table1_1[[#This Row],[Country Name]]&amp;"|"&amp;Table1_1[[#This Row],[Series Name]]&amp;"|"&amp;Table1_1[[#This Row],[Years]]</f>
        <v>United States|Exports of goods and services (% of GDP)|2021</v>
      </c>
    </row>
    <row r="1390" spans="1:7" x14ac:dyDescent="0.3">
      <c r="A1390" s="2" t="s">
        <v>94</v>
      </c>
      <c r="B1390" s="2" t="s">
        <v>97</v>
      </c>
      <c r="C1390" s="2" t="s">
        <v>70</v>
      </c>
      <c r="D1390" s="2" t="s">
        <v>147</v>
      </c>
      <c r="E1390" s="2" t="s">
        <v>164</v>
      </c>
      <c r="F1390" s="2">
        <v>11.654097044001496</v>
      </c>
      <c r="G1390" s="2" t="str">
        <f>Table1_1[[#This Row],[Country Name]]&amp;"|"&amp;Table1_1[[#This Row],[Series Name]]&amp;"|"&amp;Table1_1[[#This Row],[Years]]</f>
        <v>United States|Exports of goods and services (% of GDP)|2022</v>
      </c>
    </row>
    <row r="1391" spans="1:7" x14ac:dyDescent="0.3">
      <c r="A1391" s="2" t="s">
        <v>94</v>
      </c>
      <c r="B1391" s="2" t="s">
        <v>97</v>
      </c>
      <c r="C1391" s="2" t="s">
        <v>70</v>
      </c>
      <c r="D1391" s="2" t="s">
        <v>147</v>
      </c>
      <c r="E1391" s="2" t="s">
        <v>165</v>
      </c>
      <c r="F1391" s="2">
        <v>11.050673719092705</v>
      </c>
      <c r="G1391" s="2" t="str">
        <f>Table1_1[[#This Row],[Country Name]]&amp;"|"&amp;Table1_1[[#This Row],[Series Name]]&amp;"|"&amp;Table1_1[[#This Row],[Years]]</f>
        <v>United States|Exports of goods and services (% of GDP)|2023</v>
      </c>
    </row>
    <row r="1392" spans="1:7" x14ac:dyDescent="0.3">
      <c r="A1392" s="2" t="s">
        <v>94</v>
      </c>
      <c r="B1392" s="2" t="s">
        <v>97</v>
      </c>
      <c r="C1392" s="2" t="s">
        <v>70</v>
      </c>
      <c r="D1392" s="2" t="s">
        <v>147</v>
      </c>
      <c r="E1392" s="2" t="s">
        <v>166</v>
      </c>
      <c r="F1392" s="2">
        <v>10.974696475150038</v>
      </c>
      <c r="G1392" s="2" t="str">
        <f>Table1_1[[#This Row],[Country Name]]&amp;"|"&amp;Table1_1[[#This Row],[Series Name]]&amp;"|"&amp;Table1_1[[#This Row],[Years]]</f>
        <v>United States|Exports of goods and services (% of GDP)|2024</v>
      </c>
    </row>
    <row r="1393" spans="1:7" x14ac:dyDescent="0.3">
      <c r="A1393" s="2" t="s">
        <v>94</v>
      </c>
      <c r="B1393" s="2" t="s">
        <v>97</v>
      </c>
      <c r="C1393" s="2" t="s">
        <v>70</v>
      </c>
      <c r="D1393" s="2" t="s">
        <v>147</v>
      </c>
      <c r="E1393" s="2" t="s">
        <v>167</v>
      </c>
      <c r="G1393" s="2" t="str">
        <f>Table1_1[[#This Row],[Country Name]]&amp;"|"&amp;Table1_1[[#This Row],[Series Name]]&amp;"|"&amp;Table1_1[[#This Row],[Years]]</f>
        <v>United States|Exports of goods and services (% of GDP)|2025</v>
      </c>
    </row>
    <row r="1394" spans="1:7" x14ac:dyDescent="0.3">
      <c r="A1394" s="2" t="s">
        <v>94</v>
      </c>
      <c r="B1394" s="2" t="s">
        <v>97</v>
      </c>
      <c r="C1394" s="2" t="s">
        <v>56</v>
      </c>
      <c r="D1394" s="2" t="s">
        <v>14</v>
      </c>
      <c r="E1394" s="2" t="s">
        <v>152</v>
      </c>
      <c r="F1394" s="2">
        <v>15.878527508625009</v>
      </c>
      <c r="G1394" s="2" t="str">
        <f>Table1_1[[#This Row],[Country Name]]&amp;"|"&amp;Table1_1[[#This Row],[Series Name]]&amp;"|"&amp;Table1_1[[#This Row],[Years]]</f>
        <v>United States|Imports of goods and services (% of GDP)|2010</v>
      </c>
    </row>
    <row r="1395" spans="1:7" x14ac:dyDescent="0.3">
      <c r="A1395" s="2" t="s">
        <v>94</v>
      </c>
      <c r="B1395" s="2" t="s">
        <v>97</v>
      </c>
      <c r="C1395" s="2" t="s">
        <v>56</v>
      </c>
      <c r="D1395" s="2" t="s">
        <v>14</v>
      </c>
      <c r="E1395" s="2" t="s">
        <v>153</v>
      </c>
      <c r="F1395" s="2">
        <v>17.279014793331065</v>
      </c>
      <c r="G1395" s="2" t="str">
        <f>Table1_1[[#This Row],[Country Name]]&amp;"|"&amp;Table1_1[[#This Row],[Series Name]]&amp;"|"&amp;Table1_1[[#This Row],[Years]]</f>
        <v>United States|Imports of goods and services (% of GDP)|2011</v>
      </c>
    </row>
    <row r="1396" spans="1:7" x14ac:dyDescent="0.3">
      <c r="A1396" s="2" t="s">
        <v>94</v>
      </c>
      <c r="B1396" s="2" t="s">
        <v>97</v>
      </c>
      <c r="C1396" s="2" t="s">
        <v>56</v>
      </c>
      <c r="D1396" s="2" t="s">
        <v>14</v>
      </c>
      <c r="E1396" s="2" t="s">
        <v>154</v>
      </c>
      <c r="F1396" s="2">
        <v>17.037788306487585</v>
      </c>
      <c r="G1396" s="2" t="str">
        <f>Table1_1[[#This Row],[Country Name]]&amp;"|"&amp;Table1_1[[#This Row],[Series Name]]&amp;"|"&amp;Table1_1[[#This Row],[Years]]</f>
        <v>United States|Imports of goods and services (% of GDP)|2012</v>
      </c>
    </row>
    <row r="1397" spans="1:7" x14ac:dyDescent="0.3">
      <c r="A1397" s="2" t="s">
        <v>94</v>
      </c>
      <c r="B1397" s="2" t="s">
        <v>97</v>
      </c>
      <c r="C1397" s="2" t="s">
        <v>56</v>
      </c>
      <c r="D1397" s="2" t="s">
        <v>14</v>
      </c>
      <c r="E1397" s="2" t="s">
        <v>155</v>
      </c>
      <c r="F1397" s="2">
        <v>16.387814403007273</v>
      </c>
      <c r="G1397" s="2" t="str">
        <f>Table1_1[[#This Row],[Country Name]]&amp;"|"&amp;Table1_1[[#This Row],[Series Name]]&amp;"|"&amp;Table1_1[[#This Row],[Years]]</f>
        <v>United States|Imports of goods and services (% of GDP)|2013</v>
      </c>
    </row>
    <row r="1398" spans="1:7" x14ac:dyDescent="0.3">
      <c r="A1398" s="2" t="s">
        <v>94</v>
      </c>
      <c r="B1398" s="2" t="s">
        <v>97</v>
      </c>
      <c r="C1398" s="2" t="s">
        <v>56</v>
      </c>
      <c r="D1398" s="2" t="s">
        <v>14</v>
      </c>
      <c r="E1398" s="2" t="s">
        <v>156</v>
      </c>
      <c r="F1398" s="2">
        <v>16.3983551242045</v>
      </c>
      <c r="G1398" s="2" t="str">
        <f>Table1_1[[#This Row],[Country Name]]&amp;"|"&amp;Table1_1[[#This Row],[Series Name]]&amp;"|"&amp;Table1_1[[#This Row],[Years]]</f>
        <v>United States|Imports of goods and services (% of GDP)|2014</v>
      </c>
    </row>
    <row r="1399" spans="1:7" x14ac:dyDescent="0.3">
      <c r="A1399" s="2" t="s">
        <v>94</v>
      </c>
      <c r="B1399" s="2" t="s">
        <v>97</v>
      </c>
      <c r="C1399" s="2" t="s">
        <v>56</v>
      </c>
      <c r="D1399" s="2" t="s">
        <v>14</v>
      </c>
      <c r="E1399" s="2" t="s">
        <v>157</v>
      </c>
      <c r="F1399" s="2">
        <v>15.277065303949671</v>
      </c>
      <c r="G1399" s="2" t="str">
        <f>Table1_1[[#This Row],[Country Name]]&amp;"|"&amp;Table1_1[[#This Row],[Series Name]]&amp;"|"&amp;Table1_1[[#This Row],[Years]]</f>
        <v>United States|Imports of goods and services (% of GDP)|2015</v>
      </c>
    </row>
    <row r="1400" spans="1:7" x14ac:dyDescent="0.3">
      <c r="A1400" s="2" t="s">
        <v>94</v>
      </c>
      <c r="B1400" s="2" t="s">
        <v>97</v>
      </c>
      <c r="C1400" s="2" t="s">
        <v>56</v>
      </c>
      <c r="D1400" s="2" t="s">
        <v>14</v>
      </c>
      <c r="E1400" s="2" t="s">
        <v>158</v>
      </c>
      <c r="F1400" s="2">
        <v>14.564438559221198</v>
      </c>
      <c r="G1400" s="2" t="str">
        <f>Table1_1[[#This Row],[Country Name]]&amp;"|"&amp;Table1_1[[#This Row],[Series Name]]&amp;"|"&amp;Table1_1[[#This Row],[Years]]</f>
        <v>United States|Imports of goods and services (% of GDP)|2016</v>
      </c>
    </row>
    <row r="1401" spans="1:7" x14ac:dyDescent="0.3">
      <c r="A1401" s="2" t="s">
        <v>94</v>
      </c>
      <c r="B1401" s="2" t="s">
        <v>97</v>
      </c>
      <c r="C1401" s="2" t="s">
        <v>56</v>
      </c>
      <c r="D1401" s="2" t="s">
        <v>14</v>
      </c>
      <c r="E1401" s="2" t="s">
        <v>159</v>
      </c>
      <c r="F1401" s="2">
        <v>14.947857195521419</v>
      </c>
      <c r="G1401" s="2" t="str">
        <f>Table1_1[[#This Row],[Country Name]]&amp;"|"&amp;Table1_1[[#This Row],[Series Name]]&amp;"|"&amp;Table1_1[[#This Row],[Years]]</f>
        <v>United States|Imports of goods and services (% of GDP)|2017</v>
      </c>
    </row>
    <row r="1402" spans="1:7" x14ac:dyDescent="0.3">
      <c r="A1402" s="2" t="s">
        <v>94</v>
      </c>
      <c r="B1402" s="2" t="s">
        <v>97</v>
      </c>
      <c r="C1402" s="2" t="s">
        <v>56</v>
      </c>
      <c r="D1402" s="2" t="s">
        <v>14</v>
      </c>
      <c r="E1402" s="2" t="s">
        <v>160</v>
      </c>
      <c r="F1402" s="2">
        <v>15.158248370635203</v>
      </c>
      <c r="G1402" s="2" t="str">
        <f>Table1_1[[#This Row],[Country Name]]&amp;"|"&amp;Table1_1[[#This Row],[Series Name]]&amp;"|"&amp;Table1_1[[#This Row],[Years]]</f>
        <v>United States|Imports of goods and services (% of GDP)|2018</v>
      </c>
    </row>
    <row r="1403" spans="1:7" x14ac:dyDescent="0.3">
      <c r="A1403" s="2" t="s">
        <v>94</v>
      </c>
      <c r="B1403" s="2" t="s">
        <v>97</v>
      </c>
      <c r="C1403" s="2" t="s">
        <v>56</v>
      </c>
      <c r="D1403" s="2" t="s">
        <v>14</v>
      </c>
      <c r="E1403" s="2" t="s">
        <v>161</v>
      </c>
      <c r="F1403" s="2">
        <v>14.469283214814199</v>
      </c>
      <c r="G1403" s="2" t="str">
        <f>Table1_1[[#This Row],[Country Name]]&amp;"|"&amp;Table1_1[[#This Row],[Series Name]]&amp;"|"&amp;Table1_1[[#This Row],[Years]]</f>
        <v>United States|Imports of goods and services (% of GDP)|2019</v>
      </c>
    </row>
    <row r="1404" spans="1:7" x14ac:dyDescent="0.3">
      <c r="A1404" s="2" t="s">
        <v>94</v>
      </c>
      <c r="B1404" s="2" t="s">
        <v>97</v>
      </c>
      <c r="C1404" s="2" t="s">
        <v>56</v>
      </c>
      <c r="D1404" s="2" t="s">
        <v>14</v>
      </c>
      <c r="E1404" s="2" t="s">
        <v>162</v>
      </c>
      <c r="F1404" s="2">
        <v>13.016862795862192</v>
      </c>
      <c r="G1404" s="2" t="str">
        <f>Table1_1[[#This Row],[Country Name]]&amp;"|"&amp;Table1_1[[#This Row],[Series Name]]&amp;"|"&amp;Table1_1[[#This Row],[Years]]</f>
        <v>United States|Imports of goods and services (% of GDP)|2020</v>
      </c>
    </row>
    <row r="1405" spans="1:7" x14ac:dyDescent="0.3">
      <c r="A1405" s="2" t="s">
        <v>94</v>
      </c>
      <c r="B1405" s="2" t="s">
        <v>97</v>
      </c>
      <c r="C1405" s="2" t="s">
        <v>56</v>
      </c>
      <c r="D1405" s="2" t="s">
        <v>14</v>
      </c>
      <c r="E1405" s="2" t="s">
        <v>163</v>
      </c>
      <c r="F1405" s="2">
        <v>14.406057243122369</v>
      </c>
      <c r="G1405" s="2" t="str">
        <f>Table1_1[[#This Row],[Country Name]]&amp;"|"&amp;Table1_1[[#This Row],[Series Name]]&amp;"|"&amp;Table1_1[[#This Row],[Years]]</f>
        <v>United States|Imports of goods and services (% of GDP)|2021</v>
      </c>
    </row>
    <row r="1406" spans="1:7" x14ac:dyDescent="0.3">
      <c r="A1406" s="2" t="s">
        <v>94</v>
      </c>
      <c r="B1406" s="2" t="s">
        <v>97</v>
      </c>
      <c r="C1406" s="2" t="s">
        <v>56</v>
      </c>
      <c r="D1406" s="2" t="s">
        <v>14</v>
      </c>
      <c r="E1406" s="2" t="s">
        <v>164</v>
      </c>
      <c r="F1406" s="2">
        <v>15.253801111772372</v>
      </c>
      <c r="G1406" s="2" t="str">
        <f>Table1_1[[#This Row],[Country Name]]&amp;"|"&amp;Table1_1[[#This Row],[Series Name]]&amp;"|"&amp;Table1_1[[#This Row],[Years]]</f>
        <v>United States|Imports of goods and services (% of GDP)|2022</v>
      </c>
    </row>
    <row r="1407" spans="1:7" x14ac:dyDescent="0.3">
      <c r="A1407" s="2" t="s">
        <v>94</v>
      </c>
      <c r="B1407" s="2" t="s">
        <v>97</v>
      </c>
      <c r="C1407" s="2" t="s">
        <v>56</v>
      </c>
      <c r="D1407" s="2" t="s">
        <v>14</v>
      </c>
      <c r="E1407" s="2" t="s">
        <v>165</v>
      </c>
      <c r="F1407" s="2">
        <v>13.878624456192016</v>
      </c>
      <c r="G1407" s="2" t="str">
        <f>Table1_1[[#This Row],[Country Name]]&amp;"|"&amp;Table1_1[[#This Row],[Series Name]]&amp;"|"&amp;Table1_1[[#This Row],[Years]]</f>
        <v>United States|Imports of goods and services (% of GDP)|2023</v>
      </c>
    </row>
    <row r="1408" spans="1:7" x14ac:dyDescent="0.3">
      <c r="A1408" s="2" t="s">
        <v>94</v>
      </c>
      <c r="B1408" s="2" t="s">
        <v>97</v>
      </c>
      <c r="C1408" s="2" t="s">
        <v>56</v>
      </c>
      <c r="D1408" s="2" t="s">
        <v>14</v>
      </c>
      <c r="E1408" s="2" t="s">
        <v>166</v>
      </c>
      <c r="F1408" s="2">
        <v>14.041320822678315</v>
      </c>
      <c r="G1408" s="2" t="str">
        <f>Table1_1[[#This Row],[Country Name]]&amp;"|"&amp;Table1_1[[#This Row],[Series Name]]&amp;"|"&amp;Table1_1[[#This Row],[Years]]</f>
        <v>United States|Imports of goods and services (% of GDP)|2024</v>
      </c>
    </row>
    <row r="1409" spans="1:7" x14ac:dyDescent="0.3">
      <c r="A1409" s="2" t="s">
        <v>94</v>
      </c>
      <c r="B1409" s="2" t="s">
        <v>97</v>
      </c>
      <c r="C1409" s="2" t="s">
        <v>56</v>
      </c>
      <c r="D1409" s="2" t="s">
        <v>14</v>
      </c>
      <c r="E1409" s="2" t="s">
        <v>167</v>
      </c>
      <c r="G1409" s="2" t="str">
        <f>Table1_1[[#This Row],[Country Name]]&amp;"|"&amp;Table1_1[[#This Row],[Series Name]]&amp;"|"&amp;Table1_1[[#This Row],[Years]]</f>
        <v>United States|Imports of goods and services (% of GDP)|2025</v>
      </c>
    </row>
    <row r="1410" spans="1:7" x14ac:dyDescent="0.3">
      <c r="A1410" s="2" t="s">
        <v>94</v>
      </c>
      <c r="B1410" s="2" t="s">
        <v>97</v>
      </c>
      <c r="C1410" s="2" t="s">
        <v>13</v>
      </c>
      <c r="D1410" s="2" t="s">
        <v>123</v>
      </c>
      <c r="E1410" s="2" t="s">
        <v>152</v>
      </c>
      <c r="F1410" s="2">
        <v>264039000000</v>
      </c>
      <c r="G1410" s="2" t="str">
        <f>Table1_1[[#This Row],[Country Name]]&amp;"|"&amp;Table1_1[[#This Row],[Series Name]]&amp;"|"&amp;Table1_1[[#This Row],[Years]]</f>
        <v>United States|Foreign direct investment, net inflows (BoP, current US$)|2010</v>
      </c>
    </row>
    <row r="1411" spans="1:7" x14ac:dyDescent="0.3">
      <c r="A1411" s="2" t="s">
        <v>94</v>
      </c>
      <c r="B1411" s="2" t="s">
        <v>97</v>
      </c>
      <c r="C1411" s="2" t="s">
        <v>13</v>
      </c>
      <c r="D1411" s="2" t="s">
        <v>123</v>
      </c>
      <c r="E1411" s="2" t="s">
        <v>153</v>
      </c>
      <c r="F1411" s="2">
        <v>263497000000</v>
      </c>
      <c r="G1411" s="2" t="str">
        <f>Table1_1[[#This Row],[Country Name]]&amp;"|"&amp;Table1_1[[#This Row],[Series Name]]&amp;"|"&amp;Table1_1[[#This Row],[Years]]</f>
        <v>United States|Foreign direct investment, net inflows (BoP, current US$)|2011</v>
      </c>
    </row>
    <row r="1412" spans="1:7" x14ac:dyDescent="0.3">
      <c r="A1412" s="2" t="s">
        <v>94</v>
      </c>
      <c r="B1412" s="2" t="s">
        <v>97</v>
      </c>
      <c r="C1412" s="2" t="s">
        <v>13</v>
      </c>
      <c r="D1412" s="2" t="s">
        <v>123</v>
      </c>
      <c r="E1412" s="2" t="s">
        <v>154</v>
      </c>
      <c r="F1412" s="2">
        <v>250345000000</v>
      </c>
      <c r="G1412" s="2" t="str">
        <f>Table1_1[[#This Row],[Country Name]]&amp;"|"&amp;Table1_1[[#This Row],[Series Name]]&amp;"|"&amp;Table1_1[[#This Row],[Years]]</f>
        <v>United States|Foreign direct investment, net inflows (BoP, current US$)|2012</v>
      </c>
    </row>
    <row r="1413" spans="1:7" x14ac:dyDescent="0.3">
      <c r="A1413" s="2" t="s">
        <v>94</v>
      </c>
      <c r="B1413" s="2" t="s">
        <v>97</v>
      </c>
      <c r="C1413" s="2" t="s">
        <v>13</v>
      </c>
      <c r="D1413" s="2" t="s">
        <v>123</v>
      </c>
      <c r="E1413" s="2" t="s">
        <v>155</v>
      </c>
      <c r="F1413" s="2">
        <v>288131000000</v>
      </c>
      <c r="G1413" s="2" t="str">
        <f>Table1_1[[#This Row],[Country Name]]&amp;"|"&amp;Table1_1[[#This Row],[Series Name]]&amp;"|"&amp;Table1_1[[#This Row],[Years]]</f>
        <v>United States|Foreign direct investment, net inflows (BoP, current US$)|2013</v>
      </c>
    </row>
    <row r="1414" spans="1:7" x14ac:dyDescent="0.3">
      <c r="A1414" s="2" t="s">
        <v>94</v>
      </c>
      <c r="B1414" s="2" t="s">
        <v>97</v>
      </c>
      <c r="C1414" s="2" t="s">
        <v>13</v>
      </c>
      <c r="D1414" s="2" t="s">
        <v>123</v>
      </c>
      <c r="E1414" s="2" t="s">
        <v>156</v>
      </c>
      <c r="F1414" s="2">
        <v>251856000000</v>
      </c>
      <c r="G1414" s="2" t="str">
        <f>Table1_1[[#This Row],[Country Name]]&amp;"|"&amp;Table1_1[[#This Row],[Series Name]]&amp;"|"&amp;Table1_1[[#This Row],[Years]]</f>
        <v>United States|Foreign direct investment, net inflows (BoP, current US$)|2014</v>
      </c>
    </row>
    <row r="1415" spans="1:7" x14ac:dyDescent="0.3">
      <c r="A1415" s="2" t="s">
        <v>94</v>
      </c>
      <c r="B1415" s="2" t="s">
        <v>97</v>
      </c>
      <c r="C1415" s="2" t="s">
        <v>13</v>
      </c>
      <c r="D1415" s="2" t="s">
        <v>123</v>
      </c>
      <c r="E1415" s="2" t="s">
        <v>157</v>
      </c>
      <c r="F1415" s="2">
        <v>511434000000</v>
      </c>
      <c r="G1415" s="2" t="str">
        <f>Table1_1[[#This Row],[Country Name]]&amp;"|"&amp;Table1_1[[#This Row],[Series Name]]&amp;"|"&amp;Table1_1[[#This Row],[Years]]</f>
        <v>United States|Foreign direct investment, net inflows (BoP, current US$)|2015</v>
      </c>
    </row>
    <row r="1416" spans="1:7" x14ac:dyDescent="0.3">
      <c r="A1416" s="2" t="s">
        <v>94</v>
      </c>
      <c r="B1416" s="2" t="s">
        <v>97</v>
      </c>
      <c r="C1416" s="2" t="s">
        <v>13</v>
      </c>
      <c r="D1416" s="2" t="s">
        <v>123</v>
      </c>
      <c r="E1416" s="2" t="s">
        <v>158</v>
      </c>
      <c r="F1416" s="2">
        <v>474388000000</v>
      </c>
      <c r="G1416" s="2" t="str">
        <f>Table1_1[[#This Row],[Country Name]]&amp;"|"&amp;Table1_1[[#This Row],[Series Name]]&amp;"|"&amp;Table1_1[[#This Row],[Years]]</f>
        <v>United States|Foreign direct investment, net inflows (BoP, current US$)|2016</v>
      </c>
    </row>
    <row r="1417" spans="1:7" x14ac:dyDescent="0.3">
      <c r="A1417" s="2" t="s">
        <v>94</v>
      </c>
      <c r="B1417" s="2" t="s">
        <v>97</v>
      </c>
      <c r="C1417" s="2" t="s">
        <v>13</v>
      </c>
      <c r="D1417" s="2" t="s">
        <v>123</v>
      </c>
      <c r="E1417" s="2" t="s">
        <v>159</v>
      </c>
      <c r="F1417" s="2">
        <v>380823000000</v>
      </c>
      <c r="G1417" s="2" t="str">
        <f>Table1_1[[#This Row],[Country Name]]&amp;"|"&amp;Table1_1[[#This Row],[Series Name]]&amp;"|"&amp;Table1_1[[#This Row],[Years]]</f>
        <v>United States|Foreign direct investment, net inflows (BoP, current US$)|2017</v>
      </c>
    </row>
    <row r="1418" spans="1:7" x14ac:dyDescent="0.3">
      <c r="A1418" s="2" t="s">
        <v>94</v>
      </c>
      <c r="B1418" s="2" t="s">
        <v>97</v>
      </c>
      <c r="C1418" s="2" t="s">
        <v>13</v>
      </c>
      <c r="D1418" s="2" t="s">
        <v>123</v>
      </c>
      <c r="E1418" s="2" t="s">
        <v>160</v>
      </c>
      <c r="F1418" s="2">
        <v>214715000000</v>
      </c>
      <c r="G1418" s="2" t="str">
        <f>Table1_1[[#This Row],[Country Name]]&amp;"|"&amp;Table1_1[[#This Row],[Series Name]]&amp;"|"&amp;Table1_1[[#This Row],[Years]]</f>
        <v>United States|Foreign direct investment, net inflows (BoP, current US$)|2018</v>
      </c>
    </row>
    <row r="1419" spans="1:7" x14ac:dyDescent="0.3">
      <c r="A1419" s="2" t="s">
        <v>94</v>
      </c>
      <c r="B1419" s="2" t="s">
        <v>97</v>
      </c>
      <c r="C1419" s="2" t="s">
        <v>13</v>
      </c>
      <c r="D1419" s="2" t="s">
        <v>123</v>
      </c>
      <c r="E1419" s="2" t="s">
        <v>161</v>
      </c>
      <c r="F1419" s="2">
        <v>315984000000</v>
      </c>
      <c r="G1419" s="2" t="str">
        <f>Table1_1[[#This Row],[Country Name]]&amp;"|"&amp;Table1_1[[#This Row],[Series Name]]&amp;"|"&amp;Table1_1[[#This Row],[Years]]</f>
        <v>United States|Foreign direct investment, net inflows (BoP, current US$)|2019</v>
      </c>
    </row>
    <row r="1420" spans="1:7" x14ac:dyDescent="0.3">
      <c r="A1420" s="2" t="s">
        <v>94</v>
      </c>
      <c r="B1420" s="2" t="s">
        <v>97</v>
      </c>
      <c r="C1420" s="2" t="s">
        <v>13</v>
      </c>
      <c r="D1420" s="2" t="s">
        <v>123</v>
      </c>
      <c r="E1420" s="2" t="s">
        <v>162</v>
      </c>
      <c r="F1420" s="2">
        <v>137066000000</v>
      </c>
      <c r="G1420" s="2" t="str">
        <f>Table1_1[[#This Row],[Country Name]]&amp;"|"&amp;Table1_1[[#This Row],[Series Name]]&amp;"|"&amp;Table1_1[[#This Row],[Years]]</f>
        <v>United States|Foreign direct investment, net inflows (BoP, current US$)|2020</v>
      </c>
    </row>
    <row r="1421" spans="1:7" x14ac:dyDescent="0.3">
      <c r="A1421" s="2" t="s">
        <v>94</v>
      </c>
      <c r="B1421" s="2" t="s">
        <v>97</v>
      </c>
      <c r="C1421" s="2" t="s">
        <v>13</v>
      </c>
      <c r="D1421" s="2" t="s">
        <v>123</v>
      </c>
      <c r="E1421" s="2" t="s">
        <v>163</v>
      </c>
      <c r="F1421" s="2">
        <v>477956000000</v>
      </c>
      <c r="G1421" s="2" t="str">
        <f>Table1_1[[#This Row],[Country Name]]&amp;"|"&amp;Table1_1[[#This Row],[Series Name]]&amp;"|"&amp;Table1_1[[#This Row],[Years]]</f>
        <v>United States|Foreign direct investment, net inflows (BoP, current US$)|2021</v>
      </c>
    </row>
    <row r="1422" spans="1:7" x14ac:dyDescent="0.3">
      <c r="A1422" s="2" t="s">
        <v>94</v>
      </c>
      <c r="B1422" s="2" t="s">
        <v>97</v>
      </c>
      <c r="C1422" s="2" t="s">
        <v>13</v>
      </c>
      <c r="D1422" s="2" t="s">
        <v>123</v>
      </c>
      <c r="E1422" s="2" t="s">
        <v>164</v>
      </c>
      <c r="F1422" s="2">
        <v>416890000000</v>
      </c>
      <c r="G1422" s="2" t="str">
        <f>Table1_1[[#This Row],[Country Name]]&amp;"|"&amp;Table1_1[[#This Row],[Series Name]]&amp;"|"&amp;Table1_1[[#This Row],[Years]]</f>
        <v>United States|Foreign direct investment, net inflows (BoP, current US$)|2022</v>
      </c>
    </row>
    <row r="1423" spans="1:7" x14ac:dyDescent="0.3">
      <c r="A1423" s="2" t="s">
        <v>94</v>
      </c>
      <c r="B1423" s="2" t="s">
        <v>97</v>
      </c>
      <c r="C1423" s="2" t="s">
        <v>13</v>
      </c>
      <c r="D1423" s="2" t="s">
        <v>123</v>
      </c>
      <c r="E1423" s="2" t="s">
        <v>165</v>
      </c>
      <c r="F1423" s="2">
        <v>361944000000</v>
      </c>
      <c r="G1423" s="2" t="str">
        <f>Table1_1[[#This Row],[Country Name]]&amp;"|"&amp;Table1_1[[#This Row],[Series Name]]&amp;"|"&amp;Table1_1[[#This Row],[Years]]</f>
        <v>United States|Foreign direct investment, net inflows (BoP, current US$)|2023</v>
      </c>
    </row>
    <row r="1424" spans="1:7" x14ac:dyDescent="0.3">
      <c r="A1424" s="2" t="s">
        <v>94</v>
      </c>
      <c r="B1424" s="2" t="s">
        <v>97</v>
      </c>
      <c r="C1424" s="2" t="s">
        <v>13</v>
      </c>
      <c r="D1424" s="2" t="s">
        <v>123</v>
      </c>
      <c r="E1424" s="2" t="s">
        <v>166</v>
      </c>
      <c r="F1424" s="2">
        <v>297058000000</v>
      </c>
      <c r="G1424" s="2" t="str">
        <f>Table1_1[[#This Row],[Country Name]]&amp;"|"&amp;Table1_1[[#This Row],[Series Name]]&amp;"|"&amp;Table1_1[[#This Row],[Years]]</f>
        <v>United States|Foreign direct investment, net inflows (BoP, current US$)|2024</v>
      </c>
    </row>
    <row r="1425" spans="1:7" x14ac:dyDescent="0.3">
      <c r="A1425" s="2" t="s">
        <v>94</v>
      </c>
      <c r="B1425" s="2" t="s">
        <v>97</v>
      </c>
      <c r="C1425" s="2" t="s">
        <v>13</v>
      </c>
      <c r="D1425" s="2" t="s">
        <v>123</v>
      </c>
      <c r="E1425" s="2" t="s">
        <v>167</v>
      </c>
      <c r="F1425" s="2">
        <v>400519000000</v>
      </c>
      <c r="G1425" s="2" t="str">
        <f>Table1_1[[#This Row],[Country Name]]&amp;"|"&amp;Table1_1[[#This Row],[Series Name]]&amp;"|"&amp;Table1_1[[#This Row],[Years]]</f>
        <v>United States|Foreign direct investment, net inflows (BoP, current US$)|2025</v>
      </c>
    </row>
    <row r="1426" spans="1:7" x14ac:dyDescent="0.3">
      <c r="A1426" s="2" t="s">
        <v>94</v>
      </c>
      <c r="B1426" s="2" t="s">
        <v>97</v>
      </c>
      <c r="C1426" s="2" t="s">
        <v>107</v>
      </c>
      <c r="D1426" s="2" t="s">
        <v>106</v>
      </c>
      <c r="E1426" s="2" t="s">
        <v>152</v>
      </c>
      <c r="F1426" s="2">
        <v>309378227</v>
      </c>
      <c r="G1426" s="2" t="str">
        <f>Table1_1[[#This Row],[Country Name]]&amp;"|"&amp;Table1_1[[#This Row],[Series Name]]&amp;"|"&amp;Table1_1[[#This Row],[Years]]</f>
        <v>United States|Population, total|2010</v>
      </c>
    </row>
    <row r="1427" spans="1:7" x14ac:dyDescent="0.3">
      <c r="A1427" s="2" t="s">
        <v>94</v>
      </c>
      <c r="B1427" s="2" t="s">
        <v>97</v>
      </c>
      <c r="C1427" s="2" t="s">
        <v>107</v>
      </c>
      <c r="D1427" s="2" t="s">
        <v>106</v>
      </c>
      <c r="E1427" s="2" t="s">
        <v>153</v>
      </c>
      <c r="F1427" s="2">
        <v>311839461</v>
      </c>
      <c r="G1427" s="2" t="str">
        <f>Table1_1[[#This Row],[Country Name]]&amp;"|"&amp;Table1_1[[#This Row],[Series Name]]&amp;"|"&amp;Table1_1[[#This Row],[Years]]</f>
        <v>United States|Population, total|2011</v>
      </c>
    </row>
    <row r="1428" spans="1:7" x14ac:dyDescent="0.3">
      <c r="A1428" s="2" t="s">
        <v>94</v>
      </c>
      <c r="B1428" s="2" t="s">
        <v>97</v>
      </c>
      <c r="C1428" s="2" t="s">
        <v>107</v>
      </c>
      <c r="D1428" s="2" t="s">
        <v>106</v>
      </c>
      <c r="E1428" s="2" t="s">
        <v>154</v>
      </c>
      <c r="F1428" s="2">
        <v>314339099</v>
      </c>
      <c r="G1428" s="2" t="str">
        <f>Table1_1[[#This Row],[Country Name]]&amp;"|"&amp;Table1_1[[#This Row],[Series Name]]&amp;"|"&amp;Table1_1[[#This Row],[Years]]</f>
        <v>United States|Population, total|2012</v>
      </c>
    </row>
    <row r="1429" spans="1:7" x14ac:dyDescent="0.3">
      <c r="A1429" s="2" t="s">
        <v>94</v>
      </c>
      <c r="B1429" s="2" t="s">
        <v>97</v>
      </c>
      <c r="C1429" s="2" t="s">
        <v>107</v>
      </c>
      <c r="D1429" s="2" t="s">
        <v>106</v>
      </c>
      <c r="E1429" s="2" t="s">
        <v>155</v>
      </c>
      <c r="F1429" s="2">
        <v>316726282</v>
      </c>
      <c r="G1429" s="2" t="str">
        <f>Table1_1[[#This Row],[Country Name]]&amp;"|"&amp;Table1_1[[#This Row],[Series Name]]&amp;"|"&amp;Table1_1[[#This Row],[Years]]</f>
        <v>United States|Population, total|2013</v>
      </c>
    </row>
    <row r="1430" spans="1:7" x14ac:dyDescent="0.3">
      <c r="A1430" s="2" t="s">
        <v>94</v>
      </c>
      <c r="B1430" s="2" t="s">
        <v>97</v>
      </c>
      <c r="C1430" s="2" t="s">
        <v>107</v>
      </c>
      <c r="D1430" s="2" t="s">
        <v>106</v>
      </c>
      <c r="E1430" s="2" t="s">
        <v>156</v>
      </c>
      <c r="F1430" s="2">
        <v>319257560</v>
      </c>
      <c r="G1430" s="2" t="str">
        <f>Table1_1[[#This Row],[Country Name]]&amp;"|"&amp;Table1_1[[#This Row],[Series Name]]&amp;"|"&amp;Table1_1[[#This Row],[Years]]</f>
        <v>United States|Population, total|2014</v>
      </c>
    </row>
    <row r="1431" spans="1:7" x14ac:dyDescent="0.3">
      <c r="A1431" s="2" t="s">
        <v>94</v>
      </c>
      <c r="B1431" s="2" t="s">
        <v>97</v>
      </c>
      <c r="C1431" s="2" t="s">
        <v>107</v>
      </c>
      <c r="D1431" s="2" t="s">
        <v>106</v>
      </c>
      <c r="E1431" s="2" t="s">
        <v>157</v>
      </c>
      <c r="F1431" s="2">
        <v>321815121</v>
      </c>
      <c r="G1431" s="2" t="str">
        <f>Table1_1[[#This Row],[Country Name]]&amp;"|"&amp;Table1_1[[#This Row],[Series Name]]&amp;"|"&amp;Table1_1[[#This Row],[Years]]</f>
        <v>United States|Population, total|2015</v>
      </c>
    </row>
    <row r="1432" spans="1:7" x14ac:dyDescent="0.3">
      <c r="A1432" s="2" t="s">
        <v>94</v>
      </c>
      <c r="B1432" s="2" t="s">
        <v>97</v>
      </c>
      <c r="C1432" s="2" t="s">
        <v>107</v>
      </c>
      <c r="D1432" s="2" t="s">
        <v>106</v>
      </c>
      <c r="E1432" s="2" t="s">
        <v>158</v>
      </c>
      <c r="F1432" s="2">
        <v>324353340</v>
      </c>
      <c r="G1432" s="2" t="str">
        <f>Table1_1[[#This Row],[Country Name]]&amp;"|"&amp;Table1_1[[#This Row],[Series Name]]&amp;"|"&amp;Table1_1[[#This Row],[Years]]</f>
        <v>United States|Population, total|2016</v>
      </c>
    </row>
    <row r="1433" spans="1:7" x14ac:dyDescent="0.3">
      <c r="A1433" s="2" t="s">
        <v>94</v>
      </c>
      <c r="B1433" s="2" t="s">
        <v>97</v>
      </c>
      <c r="C1433" s="2" t="s">
        <v>107</v>
      </c>
      <c r="D1433" s="2" t="s">
        <v>106</v>
      </c>
      <c r="E1433" s="2" t="s">
        <v>159</v>
      </c>
      <c r="F1433" s="2">
        <v>326608609</v>
      </c>
      <c r="G1433" s="2" t="str">
        <f>Table1_1[[#This Row],[Country Name]]&amp;"|"&amp;Table1_1[[#This Row],[Series Name]]&amp;"|"&amp;Table1_1[[#This Row],[Years]]</f>
        <v>United States|Population, total|2017</v>
      </c>
    </row>
    <row r="1434" spans="1:7" x14ac:dyDescent="0.3">
      <c r="A1434" s="2" t="s">
        <v>94</v>
      </c>
      <c r="B1434" s="2" t="s">
        <v>97</v>
      </c>
      <c r="C1434" s="2" t="s">
        <v>107</v>
      </c>
      <c r="D1434" s="2" t="s">
        <v>106</v>
      </c>
      <c r="E1434" s="2" t="s">
        <v>160</v>
      </c>
      <c r="F1434" s="2">
        <v>328529577</v>
      </c>
      <c r="G1434" s="2" t="str">
        <f>Table1_1[[#This Row],[Country Name]]&amp;"|"&amp;Table1_1[[#This Row],[Series Name]]&amp;"|"&amp;Table1_1[[#This Row],[Years]]</f>
        <v>United States|Population, total|2018</v>
      </c>
    </row>
    <row r="1435" spans="1:7" x14ac:dyDescent="0.3">
      <c r="A1435" s="2" t="s">
        <v>94</v>
      </c>
      <c r="B1435" s="2" t="s">
        <v>97</v>
      </c>
      <c r="C1435" s="2" t="s">
        <v>107</v>
      </c>
      <c r="D1435" s="2" t="s">
        <v>106</v>
      </c>
      <c r="E1435" s="2" t="s">
        <v>161</v>
      </c>
      <c r="F1435" s="2">
        <v>330226227</v>
      </c>
      <c r="G1435" s="2" t="str">
        <f>Table1_1[[#This Row],[Country Name]]&amp;"|"&amp;Table1_1[[#This Row],[Series Name]]&amp;"|"&amp;Table1_1[[#This Row],[Years]]</f>
        <v>United States|Population, total|2019</v>
      </c>
    </row>
    <row r="1436" spans="1:7" x14ac:dyDescent="0.3">
      <c r="A1436" s="2" t="s">
        <v>94</v>
      </c>
      <c r="B1436" s="2" t="s">
        <v>97</v>
      </c>
      <c r="C1436" s="2" t="s">
        <v>107</v>
      </c>
      <c r="D1436" s="2" t="s">
        <v>106</v>
      </c>
      <c r="E1436" s="2" t="s">
        <v>162</v>
      </c>
      <c r="F1436" s="2">
        <v>331578104</v>
      </c>
      <c r="G1436" s="2" t="str">
        <f>Table1_1[[#This Row],[Country Name]]&amp;"|"&amp;Table1_1[[#This Row],[Series Name]]&amp;"|"&amp;Table1_1[[#This Row],[Years]]</f>
        <v>United States|Population, total|2020</v>
      </c>
    </row>
    <row r="1437" spans="1:7" x14ac:dyDescent="0.3">
      <c r="A1437" s="2" t="s">
        <v>94</v>
      </c>
      <c r="B1437" s="2" t="s">
        <v>97</v>
      </c>
      <c r="C1437" s="2" t="s">
        <v>107</v>
      </c>
      <c r="D1437" s="2" t="s">
        <v>106</v>
      </c>
      <c r="E1437" s="2" t="s">
        <v>163</v>
      </c>
      <c r="F1437" s="2">
        <v>332100166</v>
      </c>
      <c r="G1437" s="2" t="str">
        <f>Table1_1[[#This Row],[Country Name]]&amp;"|"&amp;Table1_1[[#This Row],[Series Name]]&amp;"|"&amp;Table1_1[[#This Row],[Years]]</f>
        <v>United States|Population, total|2021</v>
      </c>
    </row>
    <row r="1438" spans="1:7" x14ac:dyDescent="0.3">
      <c r="A1438" s="2" t="s">
        <v>94</v>
      </c>
      <c r="B1438" s="2" t="s">
        <v>97</v>
      </c>
      <c r="C1438" s="2" t="s">
        <v>107</v>
      </c>
      <c r="D1438" s="2" t="s">
        <v>106</v>
      </c>
      <c r="E1438" s="2" t="s">
        <v>164</v>
      </c>
      <c r="F1438" s="2">
        <v>333996304</v>
      </c>
      <c r="G1438" s="2" t="str">
        <f>Table1_1[[#This Row],[Country Name]]&amp;"|"&amp;Table1_1[[#This Row],[Series Name]]&amp;"|"&amp;Table1_1[[#This Row],[Years]]</f>
        <v>United States|Population, total|2022</v>
      </c>
    </row>
    <row r="1439" spans="1:7" x14ac:dyDescent="0.3">
      <c r="A1439" s="2" t="s">
        <v>94</v>
      </c>
      <c r="B1439" s="2" t="s">
        <v>97</v>
      </c>
      <c r="C1439" s="2" t="s">
        <v>107</v>
      </c>
      <c r="D1439" s="2" t="s">
        <v>106</v>
      </c>
      <c r="E1439" s="2" t="s">
        <v>165</v>
      </c>
      <c r="F1439" s="2">
        <v>336755052</v>
      </c>
      <c r="G1439" s="2" t="str">
        <f>Table1_1[[#This Row],[Country Name]]&amp;"|"&amp;Table1_1[[#This Row],[Series Name]]&amp;"|"&amp;Table1_1[[#This Row],[Years]]</f>
        <v>United States|Population, total|2023</v>
      </c>
    </row>
    <row r="1440" spans="1:7" x14ac:dyDescent="0.3">
      <c r="A1440" s="2" t="s">
        <v>94</v>
      </c>
      <c r="B1440" s="2" t="s">
        <v>97</v>
      </c>
      <c r="C1440" s="2" t="s">
        <v>107</v>
      </c>
      <c r="D1440" s="2" t="s">
        <v>106</v>
      </c>
      <c r="E1440" s="2" t="s">
        <v>166</v>
      </c>
      <c r="F1440" s="2">
        <v>340003797</v>
      </c>
      <c r="G1440" s="2" t="str">
        <f>Table1_1[[#This Row],[Country Name]]&amp;"|"&amp;Table1_1[[#This Row],[Series Name]]&amp;"|"&amp;Table1_1[[#This Row],[Years]]</f>
        <v>United States|Population, total|2024</v>
      </c>
    </row>
    <row r="1441" spans="1:7" x14ac:dyDescent="0.3">
      <c r="A1441" s="2" t="s">
        <v>94</v>
      </c>
      <c r="B1441" s="2" t="s">
        <v>97</v>
      </c>
      <c r="C1441" s="2" t="s">
        <v>107</v>
      </c>
      <c r="D1441" s="2" t="s">
        <v>106</v>
      </c>
      <c r="E1441" s="2" t="s">
        <v>167</v>
      </c>
      <c r="F1441" s="2">
        <v>341784857</v>
      </c>
      <c r="G1441" s="2" t="str">
        <f>Table1_1[[#This Row],[Country Name]]&amp;"|"&amp;Table1_1[[#This Row],[Series Name]]&amp;"|"&amp;Table1_1[[#This Row],[Years]]</f>
        <v>United States|Population, total|2025</v>
      </c>
    </row>
    <row r="1442" spans="1:7" x14ac:dyDescent="0.3">
      <c r="A1442" s="2" t="s">
        <v>116</v>
      </c>
      <c r="B1442" s="2" t="s">
        <v>138</v>
      </c>
      <c r="C1442" s="2" t="s">
        <v>25</v>
      </c>
      <c r="D1442" s="2" t="s">
        <v>89</v>
      </c>
      <c r="E1442" s="2" t="s">
        <v>152</v>
      </c>
      <c r="F1442" s="2">
        <v>1152566632022.1255</v>
      </c>
      <c r="G1442" s="2" t="str">
        <f>Table1_1[[#This Row],[Country Name]]&amp;"|"&amp;Table1_1[[#This Row],[Series Name]]&amp;"|"&amp;Table1_1[[#This Row],[Years]]</f>
        <v>Australia|GDP (current US$)|2010</v>
      </c>
    </row>
    <row r="1443" spans="1:7" x14ac:dyDescent="0.3">
      <c r="A1443" s="2" t="s">
        <v>116</v>
      </c>
      <c r="B1443" s="2" t="s">
        <v>138</v>
      </c>
      <c r="C1443" s="2" t="s">
        <v>25</v>
      </c>
      <c r="D1443" s="2" t="s">
        <v>89</v>
      </c>
      <c r="E1443" s="2" t="s">
        <v>153</v>
      </c>
      <c r="F1443" s="2">
        <v>1402939868653.3967</v>
      </c>
      <c r="G1443" s="2" t="str">
        <f>Table1_1[[#This Row],[Country Name]]&amp;"|"&amp;Table1_1[[#This Row],[Series Name]]&amp;"|"&amp;Table1_1[[#This Row],[Years]]</f>
        <v>Australia|GDP (current US$)|2011</v>
      </c>
    </row>
    <row r="1444" spans="1:7" x14ac:dyDescent="0.3">
      <c r="A1444" s="2" t="s">
        <v>116</v>
      </c>
      <c r="B1444" s="2" t="s">
        <v>138</v>
      </c>
      <c r="C1444" s="2" t="s">
        <v>25</v>
      </c>
      <c r="D1444" s="2" t="s">
        <v>89</v>
      </c>
      <c r="E1444" s="2" t="s">
        <v>154</v>
      </c>
      <c r="F1444" s="2">
        <v>1552728401401.5811</v>
      </c>
      <c r="G1444" s="2" t="str">
        <f>Table1_1[[#This Row],[Country Name]]&amp;"|"&amp;Table1_1[[#This Row],[Series Name]]&amp;"|"&amp;Table1_1[[#This Row],[Years]]</f>
        <v>Australia|GDP (current US$)|2012</v>
      </c>
    </row>
    <row r="1445" spans="1:7" x14ac:dyDescent="0.3">
      <c r="A1445" s="2" t="s">
        <v>116</v>
      </c>
      <c r="B1445" s="2" t="s">
        <v>138</v>
      </c>
      <c r="C1445" s="2" t="s">
        <v>25</v>
      </c>
      <c r="D1445" s="2" t="s">
        <v>89</v>
      </c>
      <c r="E1445" s="2" t="s">
        <v>155</v>
      </c>
      <c r="F1445" s="2">
        <v>1583737461925.3928</v>
      </c>
      <c r="G1445" s="2" t="str">
        <f>Table1_1[[#This Row],[Country Name]]&amp;"|"&amp;Table1_1[[#This Row],[Series Name]]&amp;"|"&amp;Table1_1[[#This Row],[Years]]</f>
        <v>Australia|GDP (current US$)|2013</v>
      </c>
    </row>
    <row r="1446" spans="1:7" x14ac:dyDescent="0.3">
      <c r="A1446" s="2" t="s">
        <v>116</v>
      </c>
      <c r="B1446" s="2" t="s">
        <v>138</v>
      </c>
      <c r="C1446" s="2" t="s">
        <v>25</v>
      </c>
      <c r="D1446" s="2" t="s">
        <v>89</v>
      </c>
      <c r="E1446" s="2" t="s">
        <v>156</v>
      </c>
      <c r="F1446" s="2">
        <v>1474677007565.6382</v>
      </c>
      <c r="G1446" s="2" t="str">
        <f>Table1_1[[#This Row],[Country Name]]&amp;"|"&amp;Table1_1[[#This Row],[Series Name]]&amp;"|"&amp;Table1_1[[#This Row],[Years]]</f>
        <v>Australia|GDP (current US$)|2014</v>
      </c>
    </row>
    <row r="1447" spans="1:7" x14ac:dyDescent="0.3">
      <c r="A1447" s="2" t="s">
        <v>116</v>
      </c>
      <c r="B1447" s="2" t="s">
        <v>138</v>
      </c>
      <c r="C1447" s="2" t="s">
        <v>25</v>
      </c>
      <c r="D1447" s="2" t="s">
        <v>89</v>
      </c>
      <c r="E1447" s="2" t="s">
        <v>157</v>
      </c>
      <c r="F1447" s="2">
        <v>1356805839935.9031</v>
      </c>
      <c r="G1447" s="2" t="str">
        <f>Table1_1[[#This Row],[Country Name]]&amp;"|"&amp;Table1_1[[#This Row],[Series Name]]&amp;"|"&amp;Table1_1[[#This Row],[Years]]</f>
        <v>Australia|GDP (current US$)|2015</v>
      </c>
    </row>
    <row r="1448" spans="1:7" x14ac:dyDescent="0.3">
      <c r="A1448" s="2" t="s">
        <v>116</v>
      </c>
      <c r="B1448" s="2" t="s">
        <v>138</v>
      </c>
      <c r="C1448" s="2" t="s">
        <v>25</v>
      </c>
      <c r="D1448" s="2" t="s">
        <v>89</v>
      </c>
      <c r="E1448" s="2" t="s">
        <v>158</v>
      </c>
      <c r="F1448" s="2">
        <v>1211588128417.6074</v>
      </c>
      <c r="G1448" s="2" t="str">
        <f>Table1_1[[#This Row],[Country Name]]&amp;"|"&amp;Table1_1[[#This Row],[Series Name]]&amp;"|"&amp;Table1_1[[#This Row],[Years]]</f>
        <v>Australia|GDP (current US$)|2016</v>
      </c>
    </row>
    <row r="1449" spans="1:7" x14ac:dyDescent="0.3">
      <c r="A1449" s="2" t="s">
        <v>116</v>
      </c>
      <c r="B1449" s="2" t="s">
        <v>138</v>
      </c>
      <c r="C1449" s="2" t="s">
        <v>25</v>
      </c>
      <c r="D1449" s="2" t="s">
        <v>89</v>
      </c>
      <c r="E1449" s="2" t="s">
        <v>159</v>
      </c>
      <c r="F1449" s="2">
        <v>1330890554614.0916</v>
      </c>
      <c r="G1449" s="2" t="str">
        <f>Table1_1[[#This Row],[Country Name]]&amp;"|"&amp;Table1_1[[#This Row],[Series Name]]&amp;"|"&amp;Table1_1[[#This Row],[Years]]</f>
        <v>Australia|GDP (current US$)|2017</v>
      </c>
    </row>
    <row r="1450" spans="1:7" x14ac:dyDescent="0.3">
      <c r="A1450" s="2" t="s">
        <v>116</v>
      </c>
      <c r="B1450" s="2" t="s">
        <v>138</v>
      </c>
      <c r="C1450" s="2" t="s">
        <v>25</v>
      </c>
      <c r="D1450" s="2" t="s">
        <v>89</v>
      </c>
      <c r="E1450" s="2" t="s">
        <v>160</v>
      </c>
      <c r="F1450" s="2">
        <v>1433144978761.6658</v>
      </c>
      <c r="G1450" s="2" t="str">
        <f>Table1_1[[#This Row],[Country Name]]&amp;"|"&amp;Table1_1[[#This Row],[Series Name]]&amp;"|"&amp;Table1_1[[#This Row],[Years]]</f>
        <v>Australia|GDP (current US$)|2018</v>
      </c>
    </row>
    <row r="1451" spans="1:7" x14ac:dyDescent="0.3">
      <c r="A1451" s="2" t="s">
        <v>116</v>
      </c>
      <c r="B1451" s="2" t="s">
        <v>138</v>
      </c>
      <c r="C1451" s="2" t="s">
        <v>25</v>
      </c>
      <c r="D1451" s="2" t="s">
        <v>89</v>
      </c>
      <c r="E1451" s="2" t="s">
        <v>161</v>
      </c>
      <c r="F1451" s="2">
        <v>1398349602956.3535</v>
      </c>
      <c r="G1451" s="2" t="str">
        <f>Table1_1[[#This Row],[Country Name]]&amp;"|"&amp;Table1_1[[#This Row],[Series Name]]&amp;"|"&amp;Table1_1[[#This Row],[Years]]</f>
        <v>Australia|GDP (current US$)|2019</v>
      </c>
    </row>
    <row r="1452" spans="1:7" x14ac:dyDescent="0.3">
      <c r="A1452" s="2" t="s">
        <v>116</v>
      </c>
      <c r="B1452" s="2" t="s">
        <v>138</v>
      </c>
      <c r="C1452" s="2" t="s">
        <v>25</v>
      </c>
      <c r="D1452" s="2" t="s">
        <v>89</v>
      </c>
      <c r="E1452" s="2" t="s">
        <v>162</v>
      </c>
      <c r="F1452" s="2">
        <v>1333336461648.0901</v>
      </c>
      <c r="G1452" s="2" t="str">
        <f>Table1_1[[#This Row],[Country Name]]&amp;"|"&amp;Table1_1[[#This Row],[Series Name]]&amp;"|"&amp;Table1_1[[#This Row],[Years]]</f>
        <v>Australia|GDP (current US$)|2020</v>
      </c>
    </row>
    <row r="1453" spans="1:7" x14ac:dyDescent="0.3">
      <c r="A1453" s="2" t="s">
        <v>116</v>
      </c>
      <c r="B1453" s="2" t="s">
        <v>138</v>
      </c>
      <c r="C1453" s="2" t="s">
        <v>25</v>
      </c>
      <c r="D1453" s="2" t="s">
        <v>89</v>
      </c>
      <c r="E1453" s="2" t="s">
        <v>163</v>
      </c>
      <c r="F1453" s="2">
        <v>1560617493202.6936</v>
      </c>
      <c r="G1453" s="2" t="str">
        <f>Table1_1[[#This Row],[Country Name]]&amp;"|"&amp;Table1_1[[#This Row],[Series Name]]&amp;"|"&amp;Table1_1[[#This Row],[Years]]</f>
        <v>Australia|GDP (current US$)|2021</v>
      </c>
    </row>
    <row r="1454" spans="1:7" x14ac:dyDescent="0.3">
      <c r="A1454" s="2" t="s">
        <v>116</v>
      </c>
      <c r="B1454" s="2" t="s">
        <v>138</v>
      </c>
      <c r="C1454" s="2" t="s">
        <v>25</v>
      </c>
      <c r="D1454" s="2" t="s">
        <v>89</v>
      </c>
      <c r="E1454" s="2" t="s">
        <v>164</v>
      </c>
      <c r="F1454" s="2">
        <v>1695627535475.8005</v>
      </c>
      <c r="G1454" s="2" t="str">
        <f>Table1_1[[#This Row],[Country Name]]&amp;"|"&amp;Table1_1[[#This Row],[Series Name]]&amp;"|"&amp;Table1_1[[#This Row],[Years]]</f>
        <v>Australia|GDP (current US$)|2022</v>
      </c>
    </row>
    <row r="1455" spans="1:7" x14ac:dyDescent="0.3">
      <c r="A1455" s="2" t="s">
        <v>116</v>
      </c>
      <c r="B1455" s="2" t="s">
        <v>138</v>
      </c>
      <c r="C1455" s="2" t="s">
        <v>25</v>
      </c>
      <c r="D1455" s="2" t="s">
        <v>89</v>
      </c>
      <c r="E1455" s="2" t="s">
        <v>165</v>
      </c>
      <c r="F1455" s="2">
        <v>1734451264655.6016</v>
      </c>
      <c r="G1455" s="2" t="str">
        <f>Table1_1[[#This Row],[Country Name]]&amp;"|"&amp;Table1_1[[#This Row],[Series Name]]&amp;"|"&amp;Table1_1[[#This Row],[Years]]</f>
        <v>Australia|GDP (current US$)|2023</v>
      </c>
    </row>
    <row r="1456" spans="1:7" x14ac:dyDescent="0.3">
      <c r="A1456" s="2" t="s">
        <v>116</v>
      </c>
      <c r="B1456" s="2" t="s">
        <v>138</v>
      </c>
      <c r="C1456" s="2" t="s">
        <v>25</v>
      </c>
      <c r="D1456" s="2" t="s">
        <v>89</v>
      </c>
      <c r="E1456" s="2" t="s">
        <v>166</v>
      </c>
      <c r="F1456" s="2">
        <v>1757022451652.8313</v>
      </c>
      <c r="G1456" s="2" t="str">
        <f>Table1_1[[#This Row],[Country Name]]&amp;"|"&amp;Table1_1[[#This Row],[Series Name]]&amp;"|"&amp;Table1_1[[#This Row],[Years]]</f>
        <v>Australia|GDP (current US$)|2024</v>
      </c>
    </row>
    <row r="1457" spans="1:7" x14ac:dyDescent="0.3">
      <c r="A1457" s="2" t="s">
        <v>116</v>
      </c>
      <c r="B1457" s="2" t="s">
        <v>138</v>
      </c>
      <c r="C1457" s="2" t="s">
        <v>25</v>
      </c>
      <c r="D1457" s="2" t="s">
        <v>89</v>
      </c>
      <c r="E1457" s="2" t="s">
        <v>167</v>
      </c>
      <c r="F1457" s="2">
        <v>1798518933689.2104</v>
      </c>
      <c r="G1457" s="2" t="str">
        <f>Table1_1[[#This Row],[Country Name]]&amp;"|"&amp;Table1_1[[#This Row],[Series Name]]&amp;"|"&amp;Table1_1[[#This Row],[Years]]</f>
        <v>Australia|GDP (current US$)|2025</v>
      </c>
    </row>
    <row r="1458" spans="1:7" x14ac:dyDescent="0.3">
      <c r="A1458" s="2" t="s">
        <v>116</v>
      </c>
      <c r="B1458" s="2" t="s">
        <v>138</v>
      </c>
      <c r="C1458" s="2" t="s">
        <v>67</v>
      </c>
      <c r="D1458" s="2" t="s">
        <v>24</v>
      </c>
      <c r="E1458" s="2" t="s">
        <v>152</v>
      </c>
      <c r="F1458" s="2">
        <v>2.2100479530073471</v>
      </c>
      <c r="G1458" s="2" t="str">
        <f>Table1_1[[#This Row],[Country Name]]&amp;"|"&amp;Table1_1[[#This Row],[Series Name]]&amp;"|"&amp;Table1_1[[#This Row],[Years]]</f>
        <v>Australia|GDP growth (annual %)|2010</v>
      </c>
    </row>
    <row r="1459" spans="1:7" x14ac:dyDescent="0.3">
      <c r="A1459" s="2" t="s">
        <v>116</v>
      </c>
      <c r="B1459" s="2" t="s">
        <v>138</v>
      </c>
      <c r="C1459" s="2" t="s">
        <v>67</v>
      </c>
      <c r="D1459" s="2" t="s">
        <v>24</v>
      </c>
      <c r="E1459" s="2" t="s">
        <v>153</v>
      </c>
      <c r="F1459" s="2">
        <v>2.3947349433061476</v>
      </c>
      <c r="G1459" s="2" t="str">
        <f>Table1_1[[#This Row],[Country Name]]&amp;"|"&amp;Table1_1[[#This Row],[Series Name]]&amp;"|"&amp;Table1_1[[#This Row],[Years]]</f>
        <v>Australia|GDP growth (annual %)|2011</v>
      </c>
    </row>
    <row r="1460" spans="1:7" x14ac:dyDescent="0.3">
      <c r="A1460" s="2" t="s">
        <v>116</v>
      </c>
      <c r="B1460" s="2" t="s">
        <v>138</v>
      </c>
      <c r="C1460" s="2" t="s">
        <v>67</v>
      </c>
      <c r="D1460" s="2" t="s">
        <v>24</v>
      </c>
      <c r="E1460" s="2" t="s">
        <v>154</v>
      </c>
      <c r="F1460" s="2">
        <v>3.9524713811918417</v>
      </c>
      <c r="G1460" s="2" t="str">
        <f>Table1_1[[#This Row],[Country Name]]&amp;"|"&amp;Table1_1[[#This Row],[Series Name]]&amp;"|"&amp;Table1_1[[#This Row],[Years]]</f>
        <v>Australia|GDP growth (annual %)|2012</v>
      </c>
    </row>
    <row r="1461" spans="1:7" x14ac:dyDescent="0.3">
      <c r="A1461" s="2" t="s">
        <v>116</v>
      </c>
      <c r="B1461" s="2" t="s">
        <v>138</v>
      </c>
      <c r="C1461" s="2" t="s">
        <v>67</v>
      </c>
      <c r="D1461" s="2" t="s">
        <v>24</v>
      </c>
      <c r="E1461" s="2" t="s">
        <v>155</v>
      </c>
      <c r="F1461" s="2">
        <v>2.6544530259240418</v>
      </c>
      <c r="G1461" s="2" t="str">
        <f>Table1_1[[#This Row],[Country Name]]&amp;"|"&amp;Table1_1[[#This Row],[Series Name]]&amp;"|"&amp;Table1_1[[#This Row],[Years]]</f>
        <v>Australia|GDP growth (annual %)|2013</v>
      </c>
    </row>
    <row r="1462" spans="1:7" x14ac:dyDescent="0.3">
      <c r="A1462" s="2" t="s">
        <v>116</v>
      </c>
      <c r="B1462" s="2" t="s">
        <v>138</v>
      </c>
      <c r="C1462" s="2" t="s">
        <v>67</v>
      </c>
      <c r="D1462" s="2" t="s">
        <v>24</v>
      </c>
      <c r="E1462" s="2" t="s">
        <v>156</v>
      </c>
      <c r="F1462" s="2">
        <v>2.6011897818733161</v>
      </c>
      <c r="G1462" s="2" t="str">
        <f>Table1_1[[#This Row],[Country Name]]&amp;"|"&amp;Table1_1[[#This Row],[Series Name]]&amp;"|"&amp;Table1_1[[#This Row],[Years]]</f>
        <v>Australia|GDP growth (annual %)|2014</v>
      </c>
    </row>
    <row r="1463" spans="1:7" x14ac:dyDescent="0.3">
      <c r="A1463" s="2" t="s">
        <v>116</v>
      </c>
      <c r="B1463" s="2" t="s">
        <v>138</v>
      </c>
      <c r="C1463" s="2" t="s">
        <v>67</v>
      </c>
      <c r="D1463" s="2" t="s">
        <v>24</v>
      </c>
      <c r="E1463" s="2" t="s">
        <v>157</v>
      </c>
      <c r="F1463" s="2">
        <v>2.1643478064785171</v>
      </c>
      <c r="G1463" s="2" t="str">
        <f>Table1_1[[#This Row],[Country Name]]&amp;"|"&amp;Table1_1[[#This Row],[Series Name]]&amp;"|"&amp;Table1_1[[#This Row],[Years]]</f>
        <v>Australia|GDP growth (annual %)|2015</v>
      </c>
    </row>
    <row r="1464" spans="1:7" x14ac:dyDescent="0.3">
      <c r="A1464" s="2" t="s">
        <v>116</v>
      </c>
      <c r="B1464" s="2" t="s">
        <v>138</v>
      </c>
      <c r="C1464" s="2" t="s">
        <v>67</v>
      </c>
      <c r="D1464" s="2" t="s">
        <v>24</v>
      </c>
      <c r="E1464" s="2" t="s">
        <v>158</v>
      </c>
      <c r="F1464" s="2">
        <v>2.7556406552986772</v>
      </c>
      <c r="G1464" s="2" t="str">
        <f>Table1_1[[#This Row],[Country Name]]&amp;"|"&amp;Table1_1[[#This Row],[Series Name]]&amp;"|"&amp;Table1_1[[#This Row],[Years]]</f>
        <v>Australia|GDP growth (annual %)|2016</v>
      </c>
    </row>
    <row r="1465" spans="1:7" x14ac:dyDescent="0.3">
      <c r="A1465" s="2" t="s">
        <v>116</v>
      </c>
      <c r="B1465" s="2" t="s">
        <v>138</v>
      </c>
      <c r="C1465" s="2" t="s">
        <v>67</v>
      </c>
      <c r="D1465" s="2" t="s">
        <v>24</v>
      </c>
      <c r="E1465" s="2" t="s">
        <v>159</v>
      </c>
      <c r="F1465" s="2">
        <v>2.2933103019291821</v>
      </c>
      <c r="G1465" s="2" t="str">
        <f>Table1_1[[#This Row],[Country Name]]&amp;"|"&amp;Table1_1[[#This Row],[Series Name]]&amp;"|"&amp;Table1_1[[#This Row],[Years]]</f>
        <v>Australia|GDP growth (annual %)|2017</v>
      </c>
    </row>
    <row r="1466" spans="1:7" x14ac:dyDescent="0.3">
      <c r="A1466" s="2" t="s">
        <v>116</v>
      </c>
      <c r="B1466" s="2" t="s">
        <v>138</v>
      </c>
      <c r="C1466" s="2" t="s">
        <v>67</v>
      </c>
      <c r="D1466" s="2" t="s">
        <v>24</v>
      </c>
      <c r="E1466" s="2" t="s">
        <v>160</v>
      </c>
      <c r="F1466" s="2">
        <v>2.874170394995005</v>
      </c>
      <c r="G1466" s="2" t="str">
        <f>Table1_1[[#This Row],[Country Name]]&amp;"|"&amp;Table1_1[[#This Row],[Series Name]]&amp;"|"&amp;Table1_1[[#This Row],[Years]]</f>
        <v>Australia|GDP growth (annual %)|2018</v>
      </c>
    </row>
    <row r="1467" spans="1:7" x14ac:dyDescent="0.3">
      <c r="A1467" s="2" t="s">
        <v>116</v>
      </c>
      <c r="B1467" s="2" t="s">
        <v>138</v>
      </c>
      <c r="C1467" s="2" t="s">
        <v>67</v>
      </c>
      <c r="D1467" s="2" t="s">
        <v>24</v>
      </c>
      <c r="E1467" s="2" t="s">
        <v>161</v>
      </c>
      <c r="F1467" s="2">
        <v>2.1940170362271658</v>
      </c>
      <c r="G1467" s="2" t="str">
        <f>Table1_1[[#This Row],[Country Name]]&amp;"|"&amp;Table1_1[[#This Row],[Series Name]]&amp;"|"&amp;Table1_1[[#This Row],[Years]]</f>
        <v>Australia|GDP growth (annual %)|2019</v>
      </c>
    </row>
    <row r="1468" spans="1:7" x14ac:dyDescent="0.3">
      <c r="A1468" s="2" t="s">
        <v>116</v>
      </c>
      <c r="B1468" s="2" t="s">
        <v>138</v>
      </c>
      <c r="C1468" s="2" t="s">
        <v>67</v>
      </c>
      <c r="D1468" s="2" t="s">
        <v>24</v>
      </c>
      <c r="E1468" s="2" t="s">
        <v>162</v>
      </c>
      <c r="F1468" s="2">
        <v>-0.13353190430477468</v>
      </c>
      <c r="G1468" s="2" t="str">
        <f>Table1_1[[#This Row],[Country Name]]&amp;"|"&amp;Table1_1[[#This Row],[Series Name]]&amp;"|"&amp;Table1_1[[#This Row],[Years]]</f>
        <v>Australia|GDP growth (annual %)|2020</v>
      </c>
    </row>
    <row r="1469" spans="1:7" x14ac:dyDescent="0.3">
      <c r="A1469" s="2" t="s">
        <v>116</v>
      </c>
      <c r="B1469" s="2" t="s">
        <v>138</v>
      </c>
      <c r="C1469" s="2" t="s">
        <v>67</v>
      </c>
      <c r="D1469" s="2" t="s">
        <v>24</v>
      </c>
      <c r="E1469" s="2" t="s">
        <v>163</v>
      </c>
      <c r="F1469" s="2">
        <v>2.0069484433503391</v>
      </c>
      <c r="G1469" s="2" t="str">
        <f>Table1_1[[#This Row],[Country Name]]&amp;"|"&amp;Table1_1[[#This Row],[Series Name]]&amp;"|"&amp;Table1_1[[#This Row],[Years]]</f>
        <v>Australia|GDP growth (annual %)|2021</v>
      </c>
    </row>
    <row r="1470" spans="1:7" x14ac:dyDescent="0.3">
      <c r="A1470" s="2" t="s">
        <v>116</v>
      </c>
      <c r="B1470" s="2" t="s">
        <v>138</v>
      </c>
      <c r="C1470" s="2" t="s">
        <v>67</v>
      </c>
      <c r="D1470" s="2" t="s">
        <v>24</v>
      </c>
      <c r="E1470" s="2" t="s">
        <v>164</v>
      </c>
      <c r="F1470" s="2">
        <v>4.2530455923873234</v>
      </c>
      <c r="G1470" s="2" t="str">
        <f>Table1_1[[#This Row],[Country Name]]&amp;"|"&amp;Table1_1[[#This Row],[Series Name]]&amp;"|"&amp;Table1_1[[#This Row],[Years]]</f>
        <v>Australia|GDP growth (annual %)|2022</v>
      </c>
    </row>
    <row r="1471" spans="1:7" x14ac:dyDescent="0.3">
      <c r="A1471" s="2" t="s">
        <v>116</v>
      </c>
      <c r="B1471" s="2" t="s">
        <v>138</v>
      </c>
      <c r="C1471" s="2" t="s">
        <v>67</v>
      </c>
      <c r="D1471" s="2" t="s">
        <v>24</v>
      </c>
      <c r="E1471" s="2" t="s">
        <v>165</v>
      </c>
      <c r="F1471" s="2">
        <v>3.5838210079898118</v>
      </c>
      <c r="G1471" s="2" t="str">
        <f>Table1_1[[#This Row],[Country Name]]&amp;"|"&amp;Table1_1[[#This Row],[Series Name]]&amp;"|"&amp;Table1_1[[#This Row],[Years]]</f>
        <v>Australia|GDP growth (annual %)|2023</v>
      </c>
    </row>
    <row r="1472" spans="1:7" x14ac:dyDescent="0.3">
      <c r="A1472" s="2" t="s">
        <v>116</v>
      </c>
      <c r="B1472" s="2" t="s">
        <v>138</v>
      </c>
      <c r="C1472" s="2" t="s">
        <v>67</v>
      </c>
      <c r="D1472" s="2" t="s">
        <v>24</v>
      </c>
      <c r="E1472" s="2" t="s">
        <v>166</v>
      </c>
      <c r="F1472" s="2">
        <v>1.3734077336597466</v>
      </c>
      <c r="G1472" s="2" t="str">
        <f>Table1_1[[#This Row],[Country Name]]&amp;"|"&amp;Table1_1[[#This Row],[Series Name]]&amp;"|"&amp;Table1_1[[#This Row],[Years]]</f>
        <v>Australia|GDP growth (annual %)|2024</v>
      </c>
    </row>
    <row r="1473" spans="1:7" x14ac:dyDescent="0.3">
      <c r="A1473" s="2" t="s">
        <v>116</v>
      </c>
      <c r="B1473" s="2" t="s">
        <v>138</v>
      </c>
      <c r="C1473" s="2" t="s">
        <v>67</v>
      </c>
      <c r="D1473" s="2" t="s">
        <v>24</v>
      </c>
      <c r="E1473" s="2" t="s">
        <v>167</v>
      </c>
      <c r="F1473" s="2">
        <v>1.3503978507663135</v>
      </c>
      <c r="G1473" s="2" t="str">
        <f>Table1_1[[#This Row],[Country Name]]&amp;"|"&amp;Table1_1[[#This Row],[Series Name]]&amp;"|"&amp;Table1_1[[#This Row],[Years]]</f>
        <v>Australia|GDP growth (annual %)|2025</v>
      </c>
    </row>
    <row r="1474" spans="1:7" x14ac:dyDescent="0.3">
      <c r="A1474" s="2" t="s">
        <v>116</v>
      </c>
      <c r="B1474" s="2" t="s">
        <v>138</v>
      </c>
      <c r="C1474" s="2" t="s">
        <v>79</v>
      </c>
      <c r="D1474" s="2" t="s">
        <v>91</v>
      </c>
      <c r="E1474" s="2" t="s">
        <v>152</v>
      </c>
      <c r="F1474" s="2">
        <v>2.9183370211222002</v>
      </c>
      <c r="G1474" s="2" t="str">
        <f>Table1_1[[#This Row],[Country Name]]&amp;"|"&amp;Table1_1[[#This Row],[Series Name]]&amp;"|"&amp;Table1_1[[#This Row],[Years]]</f>
        <v>Australia|Inflation, consumer prices (annual %)|2010</v>
      </c>
    </row>
    <row r="1475" spans="1:7" x14ac:dyDescent="0.3">
      <c r="A1475" s="2" t="s">
        <v>116</v>
      </c>
      <c r="B1475" s="2" t="s">
        <v>138</v>
      </c>
      <c r="C1475" s="2" t="s">
        <v>79</v>
      </c>
      <c r="D1475" s="2" t="s">
        <v>91</v>
      </c>
      <c r="E1475" s="2" t="s">
        <v>153</v>
      </c>
      <c r="F1475" s="2">
        <v>3.3038478468108101</v>
      </c>
      <c r="G1475" s="2" t="str">
        <f>Table1_1[[#This Row],[Country Name]]&amp;"|"&amp;Table1_1[[#This Row],[Series Name]]&amp;"|"&amp;Table1_1[[#This Row],[Years]]</f>
        <v>Australia|Inflation, consumer prices (annual %)|2011</v>
      </c>
    </row>
    <row r="1476" spans="1:7" x14ac:dyDescent="0.3">
      <c r="A1476" s="2" t="s">
        <v>116</v>
      </c>
      <c r="B1476" s="2" t="s">
        <v>138</v>
      </c>
      <c r="C1476" s="2" t="s">
        <v>79</v>
      </c>
      <c r="D1476" s="2" t="s">
        <v>91</v>
      </c>
      <c r="E1476" s="2" t="s">
        <v>154</v>
      </c>
      <c r="F1476" s="2">
        <v>1.76278299052228</v>
      </c>
      <c r="G1476" s="2" t="str">
        <f>Table1_1[[#This Row],[Country Name]]&amp;"|"&amp;Table1_1[[#This Row],[Series Name]]&amp;"|"&amp;Table1_1[[#This Row],[Years]]</f>
        <v>Australia|Inflation, consumer prices (annual %)|2012</v>
      </c>
    </row>
    <row r="1477" spans="1:7" x14ac:dyDescent="0.3">
      <c r="A1477" s="2" t="s">
        <v>116</v>
      </c>
      <c r="B1477" s="2" t="s">
        <v>138</v>
      </c>
      <c r="C1477" s="2" t="s">
        <v>79</v>
      </c>
      <c r="D1477" s="2" t="s">
        <v>91</v>
      </c>
      <c r="E1477" s="2" t="s">
        <v>155</v>
      </c>
      <c r="F1477" s="2">
        <v>2.4498824810925899</v>
      </c>
      <c r="G1477" s="2" t="str">
        <f>Table1_1[[#This Row],[Country Name]]&amp;"|"&amp;Table1_1[[#This Row],[Series Name]]&amp;"|"&amp;Table1_1[[#This Row],[Years]]</f>
        <v>Australia|Inflation, consumer prices (annual %)|2013</v>
      </c>
    </row>
    <row r="1478" spans="1:7" x14ac:dyDescent="0.3">
      <c r="A1478" s="2" t="s">
        <v>116</v>
      </c>
      <c r="B1478" s="2" t="s">
        <v>138</v>
      </c>
      <c r="C1478" s="2" t="s">
        <v>79</v>
      </c>
      <c r="D1478" s="2" t="s">
        <v>91</v>
      </c>
      <c r="E1478" s="2" t="s">
        <v>156</v>
      </c>
      <c r="F1478" s="2">
        <v>2.4879293208049198</v>
      </c>
      <c r="G1478" s="2" t="str">
        <f>Table1_1[[#This Row],[Country Name]]&amp;"|"&amp;Table1_1[[#This Row],[Series Name]]&amp;"|"&amp;Table1_1[[#This Row],[Years]]</f>
        <v>Australia|Inflation, consumer prices (annual %)|2014</v>
      </c>
    </row>
    <row r="1479" spans="1:7" x14ac:dyDescent="0.3">
      <c r="A1479" s="2" t="s">
        <v>116</v>
      </c>
      <c r="B1479" s="2" t="s">
        <v>138</v>
      </c>
      <c r="C1479" s="2" t="s">
        <v>79</v>
      </c>
      <c r="D1479" s="2" t="s">
        <v>91</v>
      </c>
      <c r="E1479" s="2" t="s">
        <v>157</v>
      </c>
      <c r="F1479" s="2">
        <v>1.5083680313846299</v>
      </c>
      <c r="G1479" s="2" t="str">
        <f>Table1_1[[#This Row],[Country Name]]&amp;"|"&amp;Table1_1[[#This Row],[Series Name]]&amp;"|"&amp;Table1_1[[#This Row],[Years]]</f>
        <v>Australia|Inflation, consumer prices (annual %)|2015</v>
      </c>
    </row>
    <row r="1480" spans="1:7" x14ac:dyDescent="0.3">
      <c r="A1480" s="2" t="s">
        <v>116</v>
      </c>
      <c r="B1480" s="2" t="s">
        <v>138</v>
      </c>
      <c r="C1480" s="2" t="s">
        <v>79</v>
      </c>
      <c r="D1480" s="2" t="s">
        <v>91</v>
      </c>
      <c r="E1480" s="2" t="s">
        <v>158</v>
      </c>
      <c r="F1480" s="2">
        <v>1.27699365720306</v>
      </c>
      <c r="G1480" s="2" t="str">
        <f>Table1_1[[#This Row],[Country Name]]&amp;"|"&amp;Table1_1[[#This Row],[Series Name]]&amp;"|"&amp;Table1_1[[#This Row],[Years]]</f>
        <v>Australia|Inflation, consumer prices (annual %)|2016</v>
      </c>
    </row>
    <row r="1481" spans="1:7" x14ac:dyDescent="0.3">
      <c r="A1481" s="2" t="s">
        <v>116</v>
      </c>
      <c r="B1481" s="2" t="s">
        <v>138</v>
      </c>
      <c r="C1481" s="2" t="s">
        <v>79</v>
      </c>
      <c r="D1481" s="2" t="s">
        <v>91</v>
      </c>
      <c r="E1481" s="2" t="s">
        <v>159</v>
      </c>
      <c r="F1481" s="2">
        <v>1.94864309065653</v>
      </c>
      <c r="G1481" s="2" t="str">
        <f>Table1_1[[#This Row],[Country Name]]&amp;"|"&amp;Table1_1[[#This Row],[Series Name]]&amp;"|"&amp;Table1_1[[#This Row],[Years]]</f>
        <v>Australia|Inflation, consumer prices (annual %)|2017</v>
      </c>
    </row>
    <row r="1482" spans="1:7" x14ac:dyDescent="0.3">
      <c r="A1482" s="2" t="s">
        <v>116</v>
      </c>
      <c r="B1482" s="2" t="s">
        <v>138</v>
      </c>
      <c r="C1482" s="2" t="s">
        <v>79</v>
      </c>
      <c r="D1482" s="2" t="s">
        <v>91</v>
      </c>
      <c r="E1482" s="2" t="s">
        <v>160</v>
      </c>
      <c r="F1482" s="2">
        <v>1.9114000281857899</v>
      </c>
      <c r="G1482" s="2" t="str">
        <f>Table1_1[[#This Row],[Country Name]]&amp;"|"&amp;Table1_1[[#This Row],[Series Name]]&amp;"|"&amp;Table1_1[[#This Row],[Years]]</f>
        <v>Australia|Inflation, consumer prices (annual %)|2018</v>
      </c>
    </row>
    <row r="1483" spans="1:7" x14ac:dyDescent="0.3">
      <c r="A1483" s="2" t="s">
        <v>116</v>
      </c>
      <c r="B1483" s="2" t="s">
        <v>138</v>
      </c>
      <c r="C1483" s="2" t="s">
        <v>79</v>
      </c>
      <c r="D1483" s="2" t="s">
        <v>91</v>
      </c>
      <c r="E1483" s="2" t="s">
        <v>161</v>
      </c>
      <c r="F1483" s="2">
        <v>1.610770929127</v>
      </c>
      <c r="G1483" s="2" t="str">
        <f>Table1_1[[#This Row],[Country Name]]&amp;"|"&amp;Table1_1[[#This Row],[Series Name]]&amp;"|"&amp;Table1_1[[#This Row],[Years]]</f>
        <v>Australia|Inflation, consumer prices (annual %)|2019</v>
      </c>
    </row>
    <row r="1484" spans="1:7" x14ac:dyDescent="0.3">
      <c r="A1484" s="2" t="s">
        <v>116</v>
      </c>
      <c r="B1484" s="2" t="s">
        <v>138</v>
      </c>
      <c r="C1484" s="2" t="s">
        <v>79</v>
      </c>
      <c r="D1484" s="2" t="s">
        <v>91</v>
      </c>
      <c r="E1484" s="2" t="s">
        <v>162</v>
      </c>
      <c r="F1484" s="2">
        <v>0.846900734607273</v>
      </c>
      <c r="G1484" s="2" t="str">
        <f>Table1_1[[#This Row],[Country Name]]&amp;"|"&amp;Table1_1[[#This Row],[Series Name]]&amp;"|"&amp;Table1_1[[#This Row],[Years]]</f>
        <v>Australia|Inflation, consumer prices (annual %)|2020</v>
      </c>
    </row>
    <row r="1485" spans="1:7" x14ac:dyDescent="0.3">
      <c r="A1485" s="2" t="s">
        <v>116</v>
      </c>
      <c r="B1485" s="2" t="s">
        <v>138</v>
      </c>
      <c r="C1485" s="2" t="s">
        <v>79</v>
      </c>
      <c r="D1485" s="2" t="s">
        <v>91</v>
      </c>
      <c r="E1485" s="2" t="s">
        <v>163</v>
      </c>
      <c r="F1485" s="2">
        <v>2.8639128470931801</v>
      </c>
      <c r="G1485" s="2" t="str">
        <f>Table1_1[[#This Row],[Country Name]]&amp;"|"&amp;Table1_1[[#This Row],[Series Name]]&amp;"|"&amp;Table1_1[[#This Row],[Years]]</f>
        <v>Australia|Inflation, consumer prices (annual %)|2021</v>
      </c>
    </row>
    <row r="1486" spans="1:7" x14ac:dyDescent="0.3">
      <c r="A1486" s="2" t="s">
        <v>116</v>
      </c>
      <c r="B1486" s="2" t="s">
        <v>138</v>
      </c>
      <c r="C1486" s="2" t="s">
        <v>79</v>
      </c>
      <c r="D1486" s="2" t="s">
        <v>91</v>
      </c>
      <c r="E1486" s="2" t="s">
        <v>164</v>
      </c>
      <c r="F1486" s="2">
        <v>6.5940965871784103</v>
      </c>
      <c r="G1486" s="2" t="str">
        <f>Table1_1[[#This Row],[Country Name]]&amp;"|"&amp;Table1_1[[#This Row],[Series Name]]&amp;"|"&amp;Table1_1[[#This Row],[Years]]</f>
        <v>Australia|Inflation, consumer prices (annual %)|2022</v>
      </c>
    </row>
    <row r="1487" spans="1:7" x14ac:dyDescent="0.3">
      <c r="A1487" s="2" t="s">
        <v>116</v>
      </c>
      <c r="B1487" s="2" t="s">
        <v>138</v>
      </c>
      <c r="C1487" s="2" t="s">
        <v>79</v>
      </c>
      <c r="D1487" s="2" t="s">
        <v>91</v>
      </c>
      <c r="E1487" s="2" t="s">
        <v>165</v>
      </c>
      <c r="F1487" s="2">
        <v>5.59701792296707</v>
      </c>
      <c r="G1487" s="2" t="str">
        <f>Table1_1[[#This Row],[Country Name]]&amp;"|"&amp;Table1_1[[#This Row],[Series Name]]&amp;"|"&amp;Table1_1[[#This Row],[Years]]</f>
        <v>Australia|Inflation, consumer prices (annual %)|2023</v>
      </c>
    </row>
    <row r="1488" spans="1:7" x14ac:dyDescent="0.3">
      <c r="A1488" s="2" t="s">
        <v>116</v>
      </c>
      <c r="B1488" s="2" t="s">
        <v>138</v>
      </c>
      <c r="C1488" s="2" t="s">
        <v>79</v>
      </c>
      <c r="D1488" s="2" t="s">
        <v>91</v>
      </c>
      <c r="E1488" s="2" t="s">
        <v>166</v>
      </c>
      <c r="F1488" s="2">
        <v>3.16656665428797</v>
      </c>
      <c r="G1488" s="2" t="str">
        <f>Table1_1[[#This Row],[Country Name]]&amp;"|"&amp;Table1_1[[#This Row],[Series Name]]&amp;"|"&amp;Table1_1[[#This Row],[Years]]</f>
        <v>Australia|Inflation, consumer prices (annual %)|2024</v>
      </c>
    </row>
    <row r="1489" spans="1:7" x14ac:dyDescent="0.3">
      <c r="A1489" s="2" t="s">
        <v>116</v>
      </c>
      <c r="B1489" s="2" t="s">
        <v>138</v>
      </c>
      <c r="C1489" s="2" t="s">
        <v>79</v>
      </c>
      <c r="D1489" s="2" t="s">
        <v>91</v>
      </c>
      <c r="E1489" s="2" t="s">
        <v>167</v>
      </c>
      <c r="F1489" s="2">
        <v>2.87403791660173</v>
      </c>
      <c r="G1489" s="2" t="str">
        <f>Table1_1[[#This Row],[Country Name]]&amp;"|"&amp;Table1_1[[#This Row],[Series Name]]&amp;"|"&amp;Table1_1[[#This Row],[Years]]</f>
        <v>Australia|Inflation, consumer prices (annual %)|2025</v>
      </c>
    </row>
    <row r="1490" spans="1:7" x14ac:dyDescent="0.3">
      <c r="A1490" s="2" t="s">
        <v>116</v>
      </c>
      <c r="B1490" s="2" t="s">
        <v>138</v>
      </c>
      <c r="C1490" s="2" t="s">
        <v>146</v>
      </c>
      <c r="D1490" s="2" t="s">
        <v>131</v>
      </c>
      <c r="E1490" s="2" t="s">
        <v>152</v>
      </c>
      <c r="F1490" s="2">
        <v>5.2140000000000004</v>
      </c>
      <c r="G1490" s="2" t="str">
        <f>Table1_1[[#This Row],[Country Name]]&amp;"|"&amp;Table1_1[[#This Row],[Series Name]]&amp;"|"&amp;Table1_1[[#This Row],[Years]]</f>
        <v>Australia|Unemployment, total (% of total labor force) (modeled ILO estimate)|2010</v>
      </c>
    </row>
    <row r="1491" spans="1:7" x14ac:dyDescent="0.3">
      <c r="A1491" s="2" t="s">
        <v>116</v>
      </c>
      <c r="B1491" s="2" t="s">
        <v>138</v>
      </c>
      <c r="C1491" s="2" t="s">
        <v>146</v>
      </c>
      <c r="D1491" s="2" t="s">
        <v>131</v>
      </c>
      <c r="E1491" s="2" t="s">
        <v>153</v>
      </c>
      <c r="F1491" s="2">
        <v>5.0830000000000002</v>
      </c>
      <c r="G1491" s="2" t="str">
        <f>Table1_1[[#This Row],[Country Name]]&amp;"|"&amp;Table1_1[[#This Row],[Series Name]]&amp;"|"&amp;Table1_1[[#This Row],[Years]]</f>
        <v>Australia|Unemployment, total (% of total labor force) (modeled ILO estimate)|2011</v>
      </c>
    </row>
    <row r="1492" spans="1:7" x14ac:dyDescent="0.3">
      <c r="A1492" s="2" t="s">
        <v>116</v>
      </c>
      <c r="B1492" s="2" t="s">
        <v>138</v>
      </c>
      <c r="C1492" s="2" t="s">
        <v>146</v>
      </c>
      <c r="D1492" s="2" t="s">
        <v>131</v>
      </c>
      <c r="E1492" s="2" t="s">
        <v>154</v>
      </c>
      <c r="F1492" s="2">
        <v>5.2249999999999996</v>
      </c>
      <c r="G1492" s="2" t="str">
        <f>Table1_1[[#This Row],[Country Name]]&amp;"|"&amp;Table1_1[[#This Row],[Series Name]]&amp;"|"&amp;Table1_1[[#This Row],[Years]]</f>
        <v>Australia|Unemployment, total (% of total labor force) (modeled ILO estimate)|2012</v>
      </c>
    </row>
    <row r="1493" spans="1:7" x14ac:dyDescent="0.3">
      <c r="A1493" s="2" t="s">
        <v>116</v>
      </c>
      <c r="B1493" s="2" t="s">
        <v>138</v>
      </c>
      <c r="C1493" s="2" t="s">
        <v>146</v>
      </c>
      <c r="D1493" s="2" t="s">
        <v>131</v>
      </c>
      <c r="E1493" s="2" t="s">
        <v>155</v>
      </c>
      <c r="F1493" s="2">
        <v>5.6630000000000003</v>
      </c>
      <c r="G1493" s="2" t="str">
        <f>Table1_1[[#This Row],[Country Name]]&amp;"|"&amp;Table1_1[[#This Row],[Series Name]]&amp;"|"&amp;Table1_1[[#This Row],[Years]]</f>
        <v>Australia|Unemployment, total (% of total labor force) (modeled ILO estimate)|2013</v>
      </c>
    </row>
    <row r="1494" spans="1:7" x14ac:dyDescent="0.3">
      <c r="A1494" s="2" t="s">
        <v>116</v>
      </c>
      <c r="B1494" s="2" t="s">
        <v>138</v>
      </c>
      <c r="C1494" s="2" t="s">
        <v>146</v>
      </c>
      <c r="D1494" s="2" t="s">
        <v>131</v>
      </c>
      <c r="E1494" s="2" t="s">
        <v>156</v>
      </c>
      <c r="F1494" s="2">
        <v>6.0780000000000003</v>
      </c>
      <c r="G1494" s="2" t="str">
        <f>Table1_1[[#This Row],[Country Name]]&amp;"|"&amp;Table1_1[[#This Row],[Series Name]]&amp;"|"&amp;Table1_1[[#This Row],[Years]]</f>
        <v>Australia|Unemployment, total (% of total labor force) (modeled ILO estimate)|2014</v>
      </c>
    </row>
    <row r="1495" spans="1:7" x14ac:dyDescent="0.3">
      <c r="A1495" s="2" t="s">
        <v>116</v>
      </c>
      <c r="B1495" s="2" t="s">
        <v>138</v>
      </c>
      <c r="C1495" s="2" t="s">
        <v>146</v>
      </c>
      <c r="D1495" s="2" t="s">
        <v>131</v>
      </c>
      <c r="E1495" s="2" t="s">
        <v>157</v>
      </c>
      <c r="F1495" s="2">
        <v>6.0549999999999997</v>
      </c>
      <c r="G1495" s="2" t="str">
        <f>Table1_1[[#This Row],[Country Name]]&amp;"|"&amp;Table1_1[[#This Row],[Series Name]]&amp;"|"&amp;Table1_1[[#This Row],[Years]]</f>
        <v>Australia|Unemployment, total (% of total labor force) (modeled ILO estimate)|2015</v>
      </c>
    </row>
    <row r="1496" spans="1:7" x14ac:dyDescent="0.3">
      <c r="A1496" s="2" t="s">
        <v>116</v>
      </c>
      <c r="B1496" s="2" t="s">
        <v>138</v>
      </c>
      <c r="C1496" s="2" t="s">
        <v>146</v>
      </c>
      <c r="D1496" s="2" t="s">
        <v>131</v>
      </c>
      <c r="E1496" s="2" t="s">
        <v>158</v>
      </c>
      <c r="F1496" s="2">
        <v>5.7110000000000003</v>
      </c>
      <c r="G1496" s="2" t="str">
        <f>Table1_1[[#This Row],[Country Name]]&amp;"|"&amp;Table1_1[[#This Row],[Series Name]]&amp;"|"&amp;Table1_1[[#This Row],[Years]]</f>
        <v>Australia|Unemployment, total (% of total labor force) (modeled ILO estimate)|2016</v>
      </c>
    </row>
    <row r="1497" spans="1:7" x14ac:dyDescent="0.3">
      <c r="A1497" s="2" t="s">
        <v>116</v>
      </c>
      <c r="B1497" s="2" t="s">
        <v>138</v>
      </c>
      <c r="C1497" s="2" t="s">
        <v>146</v>
      </c>
      <c r="D1497" s="2" t="s">
        <v>131</v>
      </c>
      <c r="E1497" s="2" t="s">
        <v>159</v>
      </c>
      <c r="F1497" s="2">
        <v>5.5919999999999996</v>
      </c>
      <c r="G1497" s="2" t="str">
        <f>Table1_1[[#This Row],[Country Name]]&amp;"|"&amp;Table1_1[[#This Row],[Series Name]]&amp;"|"&amp;Table1_1[[#This Row],[Years]]</f>
        <v>Australia|Unemployment, total (% of total labor force) (modeled ILO estimate)|2017</v>
      </c>
    </row>
    <row r="1498" spans="1:7" x14ac:dyDescent="0.3">
      <c r="A1498" s="2" t="s">
        <v>116</v>
      </c>
      <c r="B1498" s="2" t="s">
        <v>138</v>
      </c>
      <c r="C1498" s="2" t="s">
        <v>146</v>
      </c>
      <c r="D1498" s="2" t="s">
        <v>131</v>
      </c>
      <c r="E1498" s="2" t="s">
        <v>160</v>
      </c>
      <c r="F1498" s="2">
        <v>5.3449999999999998</v>
      </c>
      <c r="G1498" s="2" t="str">
        <f>Table1_1[[#This Row],[Country Name]]&amp;"|"&amp;Table1_1[[#This Row],[Series Name]]&amp;"|"&amp;Table1_1[[#This Row],[Years]]</f>
        <v>Australia|Unemployment, total (% of total labor force) (modeled ILO estimate)|2018</v>
      </c>
    </row>
    <row r="1499" spans="1:7" x14ac:dyDescent="0.3">
      <c r="A1499" s="2" t="s">
        <v>116</v>
      </c>
      <c r="B1499" s="2" t="s">
        <v>138</v>
      </c>
      <c r="C1499" s="2" t="s">
        <v>146</v>
      </c>
      <c r="D1499" s="2" t="s">
        <v>131</v>
      </c>
      <c r="E1499" s="2" t="s">
        <v>161</v>
      </c>
      <c r="F1499" s="2">
        <v>5.1429999999999998</v>
      </c>
      <c r="G1499" s="2" t="str">
        <f>Table1_1[[#This Row],[Country Name]]&amp;"|"&amp;Table1_1[[#This Row],[Series Name]]&amp;"|"&amp;Table1_1[[#This Row],[Years]]</f>
        <v>Australia|Unemployment, total (% of total labor force) (modeled ILO estimate)|2019</v>
      </c>
    </row>
    <row r="1500" spans="1:7" x14ac:dyDescent="0.3">
      <c r="A1500" s="2" t="s">
        <v>116</v>
      </c>
      <c r="B1500" s="2" t="s">
        <v>138</v>
      </c>
      <c r="C1500" s="2" t="s">
        <v>146</v>
      </c>
      <c r="D1500" s="2" t="s">
        <v>131</v>
      </c>
      <c r="E1500" s="2" t="s">
        <v>162</v>
      </c>
      <c r="F1500" s="2">
        <v>6.3940000000000001</v>
      </c>
      <c r="G1500" s="2" t="str">
        <f>Table1_1[[#This Row],[Country Name]]&amp;"|"&amp;Table1_1[[#This Row],[Series Name]]&amp;"|"&amp;Table1_1[[#This Row],[Years]]</f>
        <v>Australia|Unemployment, total (% of total labor force) (modeled ILO estimate)|2020</v>
      </c>
    </row>
    <row r="1501" spans="1:7" x14ac:dyDescent="0.3">
      <c r="A1501" s="2" t="s">
        <v>116</v>
      </c>
      <c r="B1501" s="2" t="s">
        <v>138</v>
      </c>
      <c r="C1501" s="2" t="s">
        <v>146</v>
      </c>
      <c r="D1501" s="2" t="s">
        <v>131</v>
      </c>
      <c r="E1501" s="2" t="s">
        <v>163</v>
      </c>
      <c r="F1501" s="2">
        <v>5.0220000000000002</v>
      </c>
      <c r="G1501" s="2" t="str">
        <f>Table1_1[[#This Row],[Country Name]]&amp;"|"&amp;Table1_1[[#This Row],[Series Name]]&amp;"|"&amp;Table1_1[[#This Row],[Years]]</f>
        <v>Australia|Unemployment, total (% of total labor force) (modeled ILO estimate)|2021</v>
      </c>
    </row>
    <row r="1502" spans="1:7" x14ac:dyDescent="0.3">
      <c r="A1502" s="2" t="s">
        <v>116</v>
      </c>
      <c r="B1502" s="2" t="s">
        <v>138</v>
      </c>
      <c r="C1502" s="2" t="s">
        <v>146</v>
      </c>
      <c r="D1502" s="2" t="s">
        <v>131</v>
      </c>
      <c r="E1502" s="2" t="s">
        <v>164</v>
      </c>
      <c r="F1502" s="2">
        <v>3.7280000000000002</v>
      </c>
      <c r="G1502" s="2" t="str">
        <f>Table1_1[[#This Row],[Country Name]]&amp;"|"&amp;Table1_1[[#This Row],[Series Name]]&amp;"|"&amp;Table1_1[[#This Row],[Years]]</f>
        <v>Australia|Unemployment, total (% of total labor force) (modeled ILO estimate)|2022</v>
      </c>
    </row>
    <row r="1503" spans="1:7" x14ac:dyDescent="0.3">
      <c r="A1503" s="2" t="s">
        <v>116</v>
      </c>
      <c r="B1503" s="2" t="s">
        <v>138</v>
      </c>
      <c r="C1503" s="2" t="s">
        <v>146</v>
      </c>
      <c r="D1503" s="2" t="s">
        <v>131</v>
      </c>
      <c r="E1503" s="2" t="s">
        <v>165</v>
      </c>
      <c r="F1503" s="2">
        <v>3.6680000000000001</v>
      </c>
      <c r="G1503" s="2" t="str">
        <f>Table1_1[[#This Row],[Country Name]]&amp;"|"&amp;Table1_1[[#This Row],[Series Name]]&amp;"|"&amp;Table1_1[[#This Row],[Years]]</f>
        <v>Australia|Unemployment, total (% of total labor force) (modeled ILO estimate)|2023</v>
      </c>
    </row>
    <row r="1504" spans="1:7" x14ac:dyDescent="0.3">
      <c r="A1504" s="2" t="s">
        <v>116</v>
      </c>
      <c r="B1504" s="2" t="s">
        <v>138</v>
      </c>
      <c r="C1504" s="2" t="s">
        <v>146</v>
      </c>
      <c r="D1504" s="2" t="s">
        <v>131</v>
      </c>
      <c r="E1504" s="2" t="s">
        <v>166</v>
      </c>
      <c r="F1504" s="2">
        <v>3.9420000000000002</v>
      </c>
      <c r="G1504" s="2" t="str">
        <f>Table1_1[[#This Row],[Country Name]]&amp;"|"&amp;Table1_1[[#This Row],[Series Name]]&amp;"|"&amp;Table1_1[[#This Row],[Years]]</f>
        <v>Australia|Unemployment, total (% of total labor force) (modeled ILO estimate)|2024</v>
      </c>
    </row>
    <row r="1505" spans="1:7" x14ac:dyDescent="0.3">
      <c r="A1505" s="2" t="s">
        <v>116</v>
      </c>
      <c r="B1505" s="2" t="s">
        <v>138</v>
      </c>
      <c r="C1505" s="2" t="s">
        <v>146</v>
      </c>
      <c r="D1505" s="2" t="s">
        <v>131</v>
      </c>
      <c r="E1505" s="2" t="s">
        <v>167</v>
      </c>
      <c r="F1505" s="2">
        <v>4.09</v>
      </c>
      <c r="G1505" s="2" t="str">
        <f>Table1_1[[#This Row],[Country Name]]&amp;"|"&amp;Table1_1[[#This Row],[Series Name]]&amp;"|"&amp;Table1_1[[#This Row],[Years]]</f>
        <v>Australia|Unemployment, total (% of total labor force) (modeled ILO estimate)|2025</v>
      </c>
    </row>
    <row r="1506" spans="1:7" x14ac:dyDescent="0.3">
      <c r="A1506" s="2" t="s">
        <v>116</v>
      </c>
      <c r="B1506" s="2" t="s">
        <v>138</v>
      </c>
      <c r="C1506" s="2" t="s">
        <v>34</v>
      </c>
      <c r="D1506" s="2" t="s">
        <v>17</v>
      </c>
      <c r="E1506" s="2" t="s">
        <v>152</v>
      </c>
      <c r="F1506" s="2">
        <v>7.2791666666666677</v>
      </c>
      <c r="G1506" s="2" t="str">
        <f>Table1_1[[#This Row],[Country Name]]&amp;"|"&amp;Table1_1[[#This Row],[Series Name]]&amp;"|"&amp;Table1_1[[#This Row],[Years]]</f>
        <v>Australia|Lending interest rate (%)|2010</v>
      </c>
    </row>
    <row r="1507" spans="1:7" x14ac:dyDescent="0.3">
      <c r="A1507" s="2" t="s">
        <v>116</v>
      </c>
      <c r="B1507" s="2" t="s">
        <v>138</v>
      </c>
      <c r="C1507" s="2" t="s">
        <v>34</v>
      </c>
      <c r="D1507" s="2" t="s">
        <v>17</v>
      </c>
      <c r="E1507" s="2" t="s">
        <v>153</v>
      </c>
      <c r="F1507" s="2">
        <v>7.7374999999999998</v>
      </c>
      <c r="G1507" s="2" t="str">
        <f>Table1_1[[#This Row],[Country Name]]&amp;"|"&amp;Table1_1[[#This Row],[Series Name]]&amp;"|"&amp;Table1_1[[#This Row],[Years]]</f>
        <v>Australia|Lending interest rate (%)|2011</v>
      </c>
    </row>
    <row r="1508" spans="1:7" x14ac:dyDescent="0.3">
      <c r="A1508" s="2" t="s">
        <v>116</v>
      </c>
      <c r="B1508" s="2" t="s">
        <v>138</v>
      </c>
      <c r="C1508" s="2" t="s">
        <v>34</v>
      </c>
      <c r="D1508" s="2" t="s">
        <v>17</v>
      </c>
      <c r="E1508" s="2" t="s">
        <v>154</v>
      </c>
      <c r="F1508" s="2">
        <v>6.9749999999999996</v>
      </c>
      <c r="G1508" s="2" t="str">
        <f>Table1_1[[#This Row],[Country Name]]&amp;"|"&amp;Table1_1[[#This Row],[Series Name]]&amp;"|"&amp;Table1_1[[#This Row],[Years]]</f>
        <v>Australia|Lending interest rate (%)|2012</v>
      </c>
    </row>
    <row r="1509" spans="1:7" x14ac:dyDescent="0.3">
      <c r="A1509" s="2" t="s">
        <v>116</v>
      </c>
      <c r="B1509" s="2" t="s">
        <v>138</v>
      </c>
      <c r="C1509" s="2" t="s">
        <v>34</v>
      </c>
      <c r="D1509" s="2" t="s">
        <v>17</v>
      </c>
      <c r="E1509" s="2" t="s">
        <v>155</v>
      </c>
      <c r="F1509" s="2">
        <v>6.1791666666666654</v>
      </c>
      <c r="G1509" s="2" t="str">
        <f>Table1_1[[#This Row],[Country Name]]&amp;"|"&amp;Table1_1[[#This Row],[Series Name]]&amp;"|"&amp;Table1_1[[#This Row],[Years]]</f>
        <v>Australia|Lending interest rate (%)|2013</v>
      </c>
    </row>
    <row r="1510" spans="1:7" x14ac:dyDescent="0.3">
      <c r="A1510" s="2" t="s">
        <v>116</v>
      </c>
      <c r="B1510" s="2" t="s">
        <v>138</v>
      </c>
      <c r="C1510" s="2" t="s">
        <v>34</v>
      </c>
      <c r="D1510" s="2" t="s">
        <v>17</v>
      </c>
      <c r="E1510" s="2" t="s">
        <v>156</v>
      </c>
      <c r="F1510" s="2">
        <v>5.95</v>
      </c>
      <c r="G1510" s="2" t="str">
        <f>Table1_1[[#This Row],[Country Name]]&amp;"|"&amp;Table1_1[[#This Row],[Series Name]]&amp;"|"&amp;Table1_1[[#This Row],[Years]]</f>
        <v>Australia|Lending interest rate (%)|2014</v>
      </c>
    </row>
    <row r="1511" spans="1:7" x14ac:dyDescent="0.3">
      <c r="A1511" s="2" t="s">
        <v>116</v>
      </c>
      <c r="B1511" s="2" t="s">
        <v>138</v>
      </c>
      <c r="C1511" s="2" t="s">
        <v>34</v>
      </c>
      <c r="D1511" s="2" t="s">
        <v>17</v>
      </c>
      <c r="E1511" s="2" t="s">
        <v>157</v>
      </c>
      <c r="F1511" s="2">
        <v>5.5750000000000002</v>
      </c>
      <c r="G1511" s="2" t="str">
        <f>Table1_1[[#This Row],[Country Name]]&amp;"|"&amp;Table1_1[[#This Row],[Series Name]]&amp;"|"&amp;Table1_1[[#This Row],[Years]]</f>
        <v>Australia|Lending interest rate (%)|2015</v>
      </c>
    </row>
    <row r="1512" spans="1:7" x14ac:dyDescent="0.3">
      <c r="A1512" s="2" t="s">
        <v>116</v>
      </c>
      <c r="B1512" s="2" t="s">
        <v>138</v>
      </c>
      <c r="C1512" s="2" t="s">
        <v>34</v>
      </c>
      <c r="D1512" s="2" t="s">
        <v>17</v>
      </c>
      <c r="E1512" s="2" t="s">
        <v>158</v>
      </c>
      <c r="F1512" s="2">
        <v>5.4208333333333316</v>
      </c>
      <c r="G1512" s="2" t="str">
        <f>Table1_1[[#This Row],[Country Name]]&amp;"|"&amp;Table1_1[[#This Row],[Series Name]]&amp;"|"&amp;Table1_1[[#This Row],[Years]]</f>
        <v>Australia|Lending interest rate (%)|2016</v>
      </c>
    </row>
    <row r="1513" spans="1:7" x14ac:dyDescent="0.3">
      <c r="A1513" s="2" t="s">
        <v>116</v>
      </c>
      <c r="B1513" s="2" t="s">
        <v>138</v>
      </c>
      <c r="C1513" s="2" t="s">
        <v>34</v>
      </c>
      <c r="D1513" s="2" t="s">
        <v>17</v>
      </c>
      <c r="E1513" s="2" t="s">
        <v>159</v>
      </c>
      <c r="F1513" s="2">
        <v>5.2454999999999998</v>
      </c>
      <c r="G1513" s="2" t="str">
        <f>Table1_1[[#This Row],[Country Name]]&amp;"|"&amp;Table1_1[[#This Row],[Series Name]]&amp;"|"&amp;Table1_1[[#This Row],[Years]]</f>
        <v>Australia|Lending interest rate (%)|2017</v>
      </c>
    </row>
    <row r="1514" spans="1:7" x14ac:dyDescent="0.3">
      <c r="A1514" s="2" t="s">
        <v>116</v>
      </c>
      <c r="B1514" s="2" t="s">
        <v>138</v>
      </c>
      <c r="C1514" s="2" t="s">
        <v>34</v>
      </c>
      <c r="D1514" s="2" t="s">
        <v>17</v>
      </c>
      <c r="E1514" s="2" t="s">
        <v>160</v>
      </c>
      <c r="F1514" s="2">
        <v>5.2608333333333324</v>
      </c>
      <c r="G1514" s="2" t="str">
        <f>Table1_1[[#This Row],[Country Name]]&amp;"|"&amp;Table1_1[[#This Row],[Series Name]]&amp;"|"&amp;Table1_1[[#This Row],[Years]]</f>
        <v>Australia|Lending interest rate (%)|2018</v>
      </c>
    </row>
    <row r="1515" spans="1:7" x14ac:dyDescent="0.3">
      <c r="A1515" s="2" t="s">
        <v>116</v>
      </c>
      <c r="B1515" s="2" t="s">
        <v>138</v>
      </c>
      <c r="C1515" s="2" t="s">
        <v>34</v>
      </c>
      <c r="D1515" s="2" t="s">
        <v>17</v>
      </c>
      <c r="E1515" s="2" t="s">
        <v>161</v>
      </c>
      <c r="F1515" s="2">
        <v>5.101</v>
      </c>
      <c r="G1515" s="2" t="str">
        <f>Table1_1[[#This Row],[Country Name]]&amp;"|"&amp;Table1_1[[#This Row],[Series Name]]&amp;"|"&amp;Table1_1[[#This Row],[Years]]</f>
        <v>Australia|Lending interest rate (%)|2019</v>
      </c>
    </row>
    <row r="1516" spans="1:7" x14ac:dyDescent="0.3">
      <c r="A1516" s="2" t="s">
        <v>116</v>
      </c>
      <c r="B1516" s="2" t="s">
        <v>138</v>
      </c>
      <c r="C1516" s="2" t="s">
        <v>34</v>
      </c>
      <c r="D1516" s="2" t="s">
        <v>17</v>
      </c>
      <c r="E1516" s="2" t="s">
        <v>162</v>
      </c>
      <c r="G1516" s="2" t="str">
        <f>Table1_1[[#This Row],[Country Name]]&amp;"|"&amp;Table1_1[[#This Row],[Series Name]]&amp;"|"&amp;Table1_1[[#This Row],[Years]]</f>
        <v>Australia|Lending interest rate (%)|2020</v>
      </c>
    </row>
    <row r="1517" spans="1:7" x14ac:dyDescent="0.3">
      <c r="A1517" s="2" t="s">
        <v>116</v>
      </c>
      <c r="B1517" s="2" t="s">
        <v>138</v>
      </c>
      <c r="C1517" s="2" t="s">
        <v>34</v>
      </c>
      <c r="D1517" s="2" t="s">
        <v>17</v>
      </c>
      <c r="E1517" s="2" t="s">
        <v>163</v>
      </c>
      <c r="G1517" s="2" t="str">
        <f>Table1_1[[#This Row],[Country Name]]&amp;"|"&amp;Table1_1[[#This Row],[Series Name]]&amp;"|"&amp;Table1_1[[#This Row],[Years]]</f>
        <v>Australia|Lending interest rate (%)|2021</v>
      </c>
    </row>
    <row r="1518" spans="1:7" x14ac:dyDescent="0.3">
      <c r="A1518" s="2" t="s">
        <v>116</v>
      </c>
      <c r="B1518" s="2" t="s">
        <v>138</v>
      </c>
      <c r="C1518" s="2" t="s">
        <v>34</v>
      </c>
      <c r="D1518" s="2" t="s">
        <v>17</v>
      </c>
      <c r="E1518" s="2" t="s">
        <v>164</v>
      </c>
      <c r="G1518" s="2" t="str">
        <f>Table1_1[[#This Row],[Country Name]]&amp;"|"&amp;Table1_1[[#This Row],[Series Name]]&amp;"|"&amp;Table1_1[[#This Row],[Years]]</f>
        <v>Australia|Lending interest rate (%)|2022</v>
      </c>
    </row>
    <row r="1519" spans="1:7" x14ac:dyDescent="0.3">
      <c r="A1519" s="2" t="s">
        <v>116</v>
      </c>
      <c r="B1519" s="2" t="s">
        <v>138</v>
      </c>
      <c r="C1519" s="2" t="s">
        <v>34</v>
      </c>
      <c r="D1519" s="2" t="s">
        <v>17</v>
      </c>
      <c r="E1519" s="2" t="s">
        <v>165</v>
      </c>
      <c r="G1519" s="2" t="str">
        <f>Table1_1[[#This Row],[Country Name]]&amp;"|"&amp;Table1_1[[#This Row],[Series Name]]&amp;"|"&amp;Table1_1[[#This Row],[Years]]</f>
        <v>Australia|Lending interest rate (%)|2023</v>
      </c>
    </row>
    <row r="1520" spans="1:7" x14ac:dyDescent="0.3">
      <c r="A1520" s="2" t="s">
        <v>116</v>
      </c>
      <c r="B1520" s="2" t="s">
        <v>138</v>
      </c>
      <c r="C1520" s="2" t="s">
        <v>34</v>
      </c>
      <c r="D1520" s="2" t="s">
        <v>17</v>
      </c>
      <c r="E1520" s="2" t="s">
        <v>166</v>
      </c>
      <c r="G1520" s="2" t="str">
        <f>Table1_1[[#This Row],[Country Name]]&amp;"|"&amp;Table1_1[[#This Row],[Series Name]]&amp;"|"&amp;Table1_1[[#This Row],[Years]]</f>
        <v>Australia|Lending interest rate (%)|2024</v>
      </c>
    </row>
    <row r="1521" spans="1:7" x14ac:dyDescent="0.3">
      <c r="A1521" s="2" t="s">
        <v>116</v>
      </c>
      <c r="B1521" s="2" t="s">
        <v>138</v>
      </c>
      <c r="C1521" s="2" t="s">
        <v>34</v>
      </c>
      <c r="D1521" s="2" t="s">
        <v>17</v>
      </c>
      <c r="E1521" s="2" t="s">
        <v>167</v>
      </c>
      <c r="G1521" s="2" t="str">
        <f>Table1_1[[#This Row],[Country Name]]&amp;"|"&amp;Table1_1[[#This Row],[Series Name]]&amp;"|"&amp;Table1_1[[#This Row],[Years]]</f>
        <v>Australia|Lending interest rate (%)|2025</v>
      </c>
    </row>
    <row r="1522" spans="1:7" x14ac:dyDescent="0.3">
      <c r="A1522" s="2" t="s">
        <v>116</v>
      </c>
      <c r="B1522" s="2" t="s">
        <v>138</v>
      </c>
      <c r="C1522" s="2" t="s">
        <v>83</v>
      </c>
      <c r="D1522" s="2" t="s">
        <v>72</v>
      </c>
      <c r="E1522" s="2" t="s">
        <v>152</v>
      </c>
      <c r="F1522" s="2">
        <v>1.0901594863867721</v>
      </c>
      <c r="G1522" s="2" t="str">
        <f>Table1_1[[#This Row],[Country Name]]&amp;"|"&amp;Table1_1[[#This Row],[Series Name]]&amp;"|"&amp;Table1_1[[#This Row],[Years]]</f>
        <v>Australia|Official exchange rate (LCU per US$, period average)|2010</v>
      </c>
    </row>
    <row r="1523" spans="1:7" x14ac:dyDescent="0.3">
      <c r="A1523" s="2" t="s">
        <v>116</v>
      </c>
      <c r="B1523" s="2" t="s">
        <v>138</v>
      </c>
      <c r="C1523" s="2" t="s">
        <v>83</v>
      </c>
      <c r="D1523" s="2" t="s">
        <v>72</v>
      </c>
      <c r="E1523" s="2" t="s">
        <v>153</v>
      </c>
      <c r="F1523" s="2">
        <v>0.96946320149673515</v>
      </c>
      <c r="G1523" s="2" t="str">
        <f>Table1_1[[#This Row],[Country Name]]&amp;"|"&amp;Table1_1[[#This Row],[Series Name]]&amp;"|"&amp;Table1_1[[#This Row],[Years]]</f>
        <v>Australia|Official exchange rate (LCU per US$, period average)|2011</v>
      </c>
    </row>
    <row r="1524" spans="1:7" x14ac:dyDescent="0.3">
      <c r="A1524" s="2" t="s">
        <v>116</v>
      </c>
      <c r="B1524" s="2" t="s">
        <v>138</v>
      </c>
      <c r="C1524" s="2" t="s">
        <v>83</v>
      </c>
      <c r="D1524" s="2" t="s">
        <v>72</v>
      </c>
      <c r="E1524" s="2" t="s">
        <v>154</v>
      </c>
      <c r="F1524" s="2">
        <v>0.96580103065870782</v>
      </c>
      <c r="G1524" s="2" t="str">
        <f>Table1_1[[#This Row],[Country Name]]&amp;"|"&amp;Table1_1[[#This Row],[Series Name]]&amp;"|"&amp;Table1_1[[#This Row],[Years]]</f>
        <v>Australia|Official exchange rate (LCU per US$, period average)|2012</v>
      </c>
    </row>
    <row r="1525" spans="1:7" x14ac:dyDescent="0.3">
      <c r="A1525" s="2" t="s">
        <v>116</v>
      </c>
      <c r="B1525" s="2" t="s">
        <v>138</v>
      </c>
      <c r="C1525" s="2" t="s">
        <v>83</v>
      </c>
      <c r="D1525" s="2" t="s">
        <v>72</v>
      </c>
      <c r="E1525" s="2" t="s">
        <v>155</v>
      </c>
      <c r="F1525" s="2">
        <v>1.0358430965205381</v>
      </c>
      <c r="G1525" s="2" t="str">
        <f>Table1_1[[#This Row],[Country Name]]&amp;"|"&amp;Table1_1[[#This Row],[Series Name]]&amp;"|"&amp;Table1_1[[#This Row],[Years]]</f>
        <v>Australia|Official exchange rate (LCU per US$, period average)|2013</v>
      </c>
    </row>
    <row r="1526" spans="1:7" x14ac:dyDescent="0.3">
      <c r="A1526" s="2" t="s">
        <v>116</v>
      </c>
      <c r="B1526" s="2" t="s">
        <v>138</v>
      </c>
      <c r="C1526" s="2" t="s">
        <v>83</v>
      </c>
      <c r="D1526" s="2" t="s">
        <v>72</v>
      </c>
      <c r="E1526" s="2" t="s">
        <v>156</v>
      </c>
      <c r="F1526" s="2">
        <v>1.109363292816917</v>
      </c>
      <c r="G1526" s="2" t="str">
        <f>Table1_1[[#This Row],[Country Name]]&amp;"|"&amp;Table1_1[[#This Row],[Series Name]]&amp;"|"&amp;Table1_1[[#This Row],[Years]]</f>
        <v>Australia|Official exchange rate (LCU per US$, period average)|2014</v>
      </c>
    </row>
    <row r="1527" spans="1:7" x14ac:dyDescent="0.3">
      <c r="A1527" s="2" t="s">
        <v>116</v>
      </c>
      <c r="B1527" s="2" t="s">
        <v>138</v>
      </c>
      <c r="C1527" s="2" t="s">
        <v>83</v>
      </c>
      <c r="D1527" s="2" t="s">
        <v>72</v>
      </c>
      <c r="E1527" s="2" t="s">
        <v>157</v>
      </c>
      <c r="F1527" s="2">
        <v>1.331090262455018</v>
      </c>
      <c r="G1527" s="2" t="str">
        <f>Table1_1[[#This Row],[Country Name]]&amp;"|"&amp;Table1_1[[#This Row],[Series Name]]&amp;"|"&amp;Table1_1[[#This Row],[Years]]</f>
        <v>Australia|Official exchange rate (LCU per US$, period average)|2015</v>
      </c>
    </row>
    <row r="1528" spans="1:7" x14ac:dyDescent="0.3">
      <c r="A1528" s="2" t="s">
        <v>116</v>
      </c>
      <c r="B1528" s="2" t="s">
        <v>138</v>
      </c>
      <c r="C1528" s="2" t="s">
        <v>83</v>
      </c>
      <c r="D1528" s="2" t="s">
        <v>72</v>
      </c>
      <c r="E1528" s="2" t="s">
        <v>158</v>
      </c>
      <c r="F1528" s="2">
        <v>1.3452139760194679</v>
      </c>
      <c r="G1528" s="2" t="str">
        <f>Table1_1[[#This Row],[Country Name]]&amp;"|"&amp;Table1_1[[#This Row],[Series Name]]&amp;"|"&amp;Table1_1[[#This Row],[Years]]</f>
        <v>Australia|Official exchange rate (LCU per US$, period average)|2016</v>
      </c>
    </row>
    <row r="1529" spans="1:7" x14ac:dyDescent="0.3">
      <c r="A1529" s="2" t="s">
        <v>116</v>
      </c>
      <c r="B1529" s="2" t="s">
        <v>138</v>
      </c>
      <c r="C1529" s="2" t="s">
        <v>83</v>
      </c>
      <c r="D1529" s="2" t="s">
        <v>72</v>
      </c>
      <c r="E1529" s="2" t="s">
        <v>159</v>
      </c>
      <c r="F1529" s="2">
        <v>1.3047580767159219</v>
      </c>
      <c r="G1529" s="2" t="str">
        <f>Table1_1[[#This Row],[Country Name]]&amp;"|"&amp;Table1_1[[#This Row],[Series Name]]&amp;"|"&amp;Table1_1[[#This Row],[Years]]</f>
        <v>Australia|Official exchange rate (LCU per US$, period average)|2017</v>
      </c>
    </row>
    <row r="1530" spans="1:7" x14ac:dyDescent="0.3">
      <c r="A1530" s="2" t="s">
        <v>116</v>
      </c>
      <c r="B1530" s="2" t="s">
        <v>138</v>
      </c>
      <c r="C1530" s="2" t="s">
        <v>83</v>
      </c>
      <c r="D1530" s="2" t="s">
        <v>72</v>
      </c>
      <c r="E1530" s="2" t="s">
        <v>160</v>
      </c>
      <c r="F1530" s="2">
        <v>1.338412146464508</v>
      </c>
      <c r="G1530" s="2" t="str">
        <f>Table1_1[[#This Row],[Country Name]]&amp;"|"&amp;Table1_1[[#This Row],[Series Name]]&amp;"|"&amp;Table1_1[[#This Row],[Years]]</f>
        <v>Australia|Official exchange rate (LCU per US$, period average)|2018</v>
      </c>
    </row>
    <row r="1531" spans="1:7" x14ac:dyDescent="0.3">
      <c r="A1531" s="2" t="s">
        <v>116</v>
      </c>
      <c r="B1531" s="2" t="s">
        <v>138</v>
      </c>
      <c r="C1531" s="2" t="s">
        <v>83</v>
      </c>
      <c r="D1531" s="2" t="s">
        <v>72</v>
      </c>
      <c r="E1531" s="2" t="s">
        <v>161</v>
      </c>
      <c r="F1531" s="2">
        <v>1.4385065442138181</v>
      </c>
      <c r="G1531" s="2" t="str">
        <f>Table1_1[[#This Row],[Country Name]]&amp;"|"&amp;Table1_1[[#This Row],[Series Name]]&amp;"|"&amp;Table1_1[[#This Row],[Years]]</f>
        <v>Australia|Official exchange rate (LCU per US$, period average)|2019</v>
      </c>
    </row>
    <row r="1532" spans="1:7" x14ac:dyDescent="0.3">
      <c r="A1532" s="2" t="s">
        <v>116</v>
      </c>
      <c r="B1532" s="2" t="s">
        <v>138</v>
      </c>
      <c r="C1532" s="2" t="s">
        <v>83</v>
      </c>
      <c r="D1532" s="2" t="s">
        <v>72</v>
      </c>
      <c r="E1532" s="2" t="s">
        <v>162</v>
      </c>
      <c r="F1532" s="2">
        <v>1.4530851184701601</v>
      </c>
      <c r="G1532" s="2" t="str">
        <f>Table1_1[[#This Row],[Country Name]]&amp;"|"&amp;Table1_1[[#This Row],[Series Name]]&amp;"|"&amp;Table1_1[[#This Row],[Years]]</f>
        <v>Australia|Official exchange rate (LCU per US$, period average)|2020</v>
      </c>
    </row>
    <row r="1533" spans="1:7" x14ac:dyDescent="0.3">
      <c r="A1533" s="2" t="s">
        <v>116</v>
      </c>
      <c r="B1533" s="2" t="s">
        <v>138</v>
      </c>
      <c r="C1533" s="2" t="s">
        <v>83</v>
      </c>
      <c r="D1533" s="2" t="s">
        <v>72</v>
      </c>
      <c r="E1533" s="2" t="s">
        <v>163</v>
      </c>
      <c r="F1533" s="2">
        <v>1.331224259570809</v>
      </c>
      <c r="G1533" s="2" t="str">
        <f>Table1_1[[#This Row],[Country Name]]&amp;"|"&amp;Table1_1[[#This Row],[Series Name]]&amp;"|"&amp;Table1_1[[#This Row],[Years]]</f>
        <v>Australia|Official exchange rate (LCU per US$, period average)|2021</v>
      </c>
    </row>
    <row r="1534" spans="1:7" x14ac:dyDescent="0.3">
      <c r="A1534" s="2" t="s">
        <v>116</v>
      </c>
      <c r="B1534" s="2" t="s">
        <v>138</v>
      </c>
      <c r="C1534" s="2" t="s">
        <v>83</v>
      </c>
      <c r="D1534" s="2" t="s">
        <v>72</v>
      </c>
      <c r="E1534" s="2" t="s">
        <v>164</v>
      </c>
      <c r="F1534" s="2">
        <v>1.441664458965217</v>
      </c>
      <c r="G1534" s="2" t="str">
        <f>Table1_1[[#This Row],[Country Name]]&amp;"|"&amp;Table1_1[[#This Row],[Series Name]]&amp;"|"&amp;Table1_1[[#This Row],[Years]]</f>
        <v>Australia|Official exchange rate (LCU per US$, period average)|2022</v>
      </c>
    </row>
    <row r="1535" spans="1:7" x14ac:dyDescent="0.3">
      <c r="A1535" s="2" t="s">
        <v>116</v>
      </c>
      <c r="B1535" s="2" t="s">
        <v>138</v>
      </c>
      <c r="C1535" s="2" t="s">
        <v>83</v>
      </c>
      <c r="D1535" s="2" t="s">
        <v>72</v>
      </c>
      <c r="E1535" s="2" t="s">
        <v>165</v>
      </c>
      <c r="F1535" s="2">
        <v>1.5051910656050851</v>
      </c>
      <c r="G1535" s="2" t="str">
        <f>Table1_1[[#This Row],[Country Name]]&amp;"|"&amp;Table1_1[[#This Row],[Series Name]]&amp;"|"&amp;Table1_1[[#This Row],[Years]]</f>
        <v>Australia|Official exchange rate (LCU per US$, period average)|2023</v>
      </c>
    </row>
    <row r="1536" spans="1:7" x14ac:dyDescent="0.3">
      <c r="A1536" s="2" t="s">
        <v>116</v>
      </c>
      <c r="B1536" s="2" t="s">
        <v>138</v>
      </c>
      <c r="C1536" s="2" t="s">
        <v>83</v>
      </c>
      <c r="D1536" s="2" t="s">
        <v>72</v>
      </c>
      <c r="E1536" s="2" t="s">
        <v>166</v>
      </c>
      <c r="F1536" s="2">
        <v>1.51535803855596</v>
      </c>
      <c r="G1536" s="2" t="str">
        <f>Table1_1[[#This Row],[Country Name]]&amp;"|"&amp;Table1_1[[#This Row],[Series Name]]&amp;"|"&amp;Table1_1[[#This Row],[Years]]</f>
        <v>Australia|Official exchange rate (LCU per US$, period average)|2024</v>
      </c>
    </row>
    <row r="1537" spans="1:7" x14ac:dyDescent="0.3">
      <c r="A1537" s="2" t="s">
        <v>116</v>
      </c>
      <c r="B1537" s="2" t="s">
        <v>138</v>
      </c>
      <c r="C1537" s="2" t="s">
        <v>83</v>
      </c>
      <c r="D1537" s="2" t="s">
        <v>72</v>
      </c>
      <c r="E1537" s="2" t="s">
        <v>167</v>
      </c>
      <c r="F1537" s="2">
        <v>1.5519978866485049</v>
      </c>
      <c r="G1537" s="2" t="str">
        <f>Table1_1[[#This Row],[Country Name]]&amp;"|"&amp;Table1_1[[#This Row],[Series Name]]&amp;"|"&amp;Table1_1[[#This Row],[Years]]</f>
        <v>Australia|Official exchange rate (LCU per US$, period average)|2025</v>
      </c>
    </row>
    <row r="1538" spans="1:7" x14ac:dyDescent="0.3">
      <c r="A1538" s="2" t="s">
        <v>116</v>
      </c>
      <c r="B1538" s="2" t="s">
        <v>138</v>
      </c>
      <c r="C1538" s="2" t="s">
        <v>70</v>
      </c>
      <c r="D1538" s="2" t="s">
        <v>147</v>
      </c>
      <c r="E1538" s="2" t="s">
        <v>152</v>
      </c>
      <c r="F1538" s="2">
        <v>19.732223712415603</v>
      </c>
      <c r="G1538" s="2" t="str">
        <f>Table1_1[[#This Row],[Country Name]]&amp;"|"&amp;Table1_1[[#This Row],[Series Name]]&amp;"|"&amp;Table1_1[[#This Row],[Years]]</f>
        <v>Australia|Exports of goods and services (% of GDP)|2010</v>
      </c>
    </row>
    <row r="1539" spans="1:7" x14ac:dyDescent="0.3">
      <c r="A1539" s="2" t="s">
        <v>116</v>
      </c>
      <c r="B1539" s="2" t="s">
        <v>138</v>
      </c>
      <c r="C1539" s="2" t="s">
        <v>70</v>
      </c>
      <c r="D1539" s="2" t="s">
        <v>147</v>
      </c>
      <c r="E1539" s="2" t="s">
        <v>153</v>
      </c>
      <c r="F1539" s="2">
        <v>21.3710952598475</v>
      </c>
      <c r="G1539" s="2" t="str">
        <f>Table1_1[[#This Row],[Country Name]]&amp;"|"&amp;Table1_1[[#This Row],[Series Name]]&amp;"|"&amp;Table1_1[[#This Row],[Years]]</f>
        <v>Australia|Exports of goods and services (% of GDP)|2011</v>
      </c>
    </row>
    <row r="1540" spans="1:7" x14ac:dyDescent="0.3">
      <c r="A1540" s="2" t="s">
        <v>116</v>
      </c>
      <c r="B1540" s="2" t="s">
        <v>138</v>
      </c>
      <c r="C1540" s="2" t="s">
        <v>70</v>
      </c>
      <c r="D1540" s="2" t="s">
        <v>147</v>
      </c>
      <c r="E1540" s="2" t="s">
        <v>154</v>
      </c>
      <c r="F1540" s="2">
        <v>21.421233024544804</v>
      </c>
      <c r="G1540" s="2" t="str">
        <f>Table1_1[[#This Row],[Country Name]]&amp;"|"&amp;Table1_1[[#This Row],[Series Name]]&amp;"|"&amp;Table1_1[[#This Row],[Years]]</f>
        <v>Australia|Exports of goods and services (% of GDP)|2012</v>
      </c>
    </row>
    <row r="1541" spans="1:7" x14ac:dyDescent="0.3">
      <c r="A1541" s="2" t="s">
        <v>116</v>
      </c>
      <c r="B1541" s="2" t="s">
        <v>138</v>
      </c>
      <c r="C1541" s="2" t="s">
        <v>70</v>
      </c>
      <c r="D1541" s="2" t="s">
        <v>147</v>
      </c>
      <c r="E1541" s="2" t="s">
        <v>155</v>
      </c>
      <c r="F1541" s="2">
        <v>19.893141104787272</v>
      </c>
      <c r="G1541" s="2" t="str">
        <f>Table1_1[[#This Row],[Country Name]]&amp;"|"&amp;Table1_1[[#This Row],[Series Name]]&amp;"|"&amp;Table1_1[[#This Row],[Years]]</f>
        <v>Australia|Exports of goods and services (% of GDP)|2013</v>
      </c>
    </row>
    <row r="1542" spans="1:7" x14ac:dyDescent="0.3">
      <c r="A1542" s="2" t="s">
        <v>116</v>
      </c>
      <c r="B1542" s="2" t="s">
        <v>138</v>
      </c>
      <c r="C1542" s="2" t="s">
        <v>70</v>
      </c>
      <c r="D1542" s="2" t="s">
        <v>147</v>
      </c>
      <c r="E1542" s="2" t="s">
        <v>156</v>
      </c>
      <c r="F1542" s="2">
        <v>20.995917991280674</v>
      </c>
      <c r="G1542" s="2" t="str">
        <f>Table1_1[[#This Row],[Country Name]]&amp;"|"&amp;Table1_1[[#This Row],[Series Name]]&amp;"|"&amp;Table1_1[[#This Row],[Years]]</f>
        <v>Australia|Exports of goods and services (% of GDP)|2014</v>
      </c>
    </row>
    <row r="1543" spans="1:7" x14ac:dyDescent="0.3">
      <c r="A1543" s="2" t="s">
        <v>116</v>
      </c>
      <c r="B1543" s="2" t="s">
        <v>138</v>
      </c>
      <c r="C1543" s="2" t="s">
        <v>70</v>
      </c>
      <c r="D1543" s="2" t="s">
        <v>147</v>
      </c>
      <c r="E1543" s="2" t="s">
        <v>157</v>
      </c>
      <c r="F1543" s="2">
        <v>19.984645450325516</v>
      </c>
      <c r="G1543" s="2" t="str">
        <f>Table1_1[[#This Row],[Country Name]]&amp;"|"&amp;Table1_1[[#This Row],[Series Name]]&amp;"|"&amp;Table1_1[[#This Row],[Years]]</f>
        <v>Australia|Exports of goods and services (% of GDP)|2015</v>
      </c>
    </row>
    <row r="1544" spans="1:7" x14ac:dyDescent="0.3">
      <c r="A1544" s="2" t="s">
        <v>116</v>
      </c>
      <c r="B1544" s="2" t="s">
        <v>138</v>
      </c>
      <c r="C1544" s="2" t="s">
        <v>70</v>
      </c>
      <c r="D1544" s="2" t="s">
        <v>147</v>
      </c>
      <c r="E1544" s="2" t="s">
        <v>158</v>
      </c>
      <c r="F1544" s="2">
        <v>19.20314387833513</v>
      </c>
      <c r="G1544" s="2" t="str">
        <f>Table1_1[[#This Row],[Country Name]]&amp;"|"&amp;Table1_1[[#This Row],[Series Name]]&amp;"|"&amp;Table1_1[[#This Row],[Years]]</f>
        <v>Australia|Exports of goods and services (% of GDP)|2016</v>
      </c>
    </row>
    <row r="1545" spans="1:7" x14ac:dyDescent="0.3">
      <c r="A1545" s="2" t="s">
        <v>116</v>
      </c>
      <c r="B1545" s="2" t="s">
        <v>138</v>
      </c>
      <c r="C1545" s="2" t="s">
        <v>70</v>
      </c>
      <c r="D1545" s="2" t="s">
        <v>147</v>
      </c>
      <c r="E1545" s="2" t="s">
        <v>159</v>
      </c>
      <c r="F1545" s="2">
        <v>21.171841221107581</v>
      </c>
      <c r="G1545" s="2" t="str">
        <f>Table1_1[[#This Row],[Country Name]]&amp;"|"&amp;Table1_1[[#This Row],[Series Name]]&amp;"|"&amp;Table1_1[[#This Row],[Years]]</f>
        <v>Australia|Exports of goods and services (% of GDP)|2017</v>
      </c>
    </row>
    <row r="1546" spans="1:7" x14ac:dyDescent="0.3">
      <c r="A1546" s="2" t="s">
        <v>116</v>
      </c>
      <c r="B1546" s="2" t="s">
        <v>138</v>
      </c>
      <c r="C1546" s="2" t="s">
        <v>70</v>
      </c>
      <c r="D1546" s="2" t="s">
        <v>147</v>
      </c>
      <c r="E1546" s="2" t="s">
        <v>160</v>
      </c>
      <c r="F1546" s="2">
        <v>21.81257365750659</v>
      </c>
      <c r="G1546" s="2" t="str">
        <f>Table1_1[[#This Row],[Country Name]]&amp;"|"&amp;Table1_1[[#This Row],[Series Name]]&amp;"|"&amp;Table1_1[[#This Row],[Years]]</f>
        <v>Australia|Exports of goods and services (% of GDP)|2018</v>
      </c>
    </row>
    <row r="1547" spans="1:7" x14ac:dyDescent="0.3">
      <c r="A1547" s="2" t="s">
        <v>116</v>
      </c>
      <c r="B1547" s="2" t="s">
        <v>138</v>
      </c>
      <c r="C1547" s="2" t="s">
        <v>70</v>
      </c>
      <c r="D1547" s="2" t="s">
        <v>147</v>
      </c>
      <c r="E1547" s="2" t="s">
        <v>161</v>
      </c>
      <c r="F1547" s="2">
        <v>24.062480021072176</v>
      </c>
      <c r="G1547" s="2" t="str">
        <f>Table1_1[[#This Row],[Country Name]]&amp;"|"&amp;Table1_1[[#This Row],[Series Name]]&amp;"|"&amp;Table1_1[[#This Row],[Years]]</f>
        <v>Australia|Exports of goods and services (% of GDP)|2019</v>
      </c>
    </row>
    <row r="1548" spans="1:7" x14ac:dyDescent="0.3">
      <c r="A1548" s="2" t="s">
        <v>116</v>
      </c>
      <c r="B1548" s="2" t="s">
        <v>138</v>
      </c>
      <c r="C1548" s="2" t="s">
        <v>70</v>
      </c>
      <c r="D1548" s="2" t="s">
        <v>147</v>
      </c>
      <c r="E1548" s="2" t="s">
        <v>162</v>
      </c>
      <c r="F1548" s="2">
        <v>23.938037391541304</v>
      </c>
      <c r="G1548" s="2" t="str">
        <f>Table1_1[[#This Row],[Country Name]]&amp;"|"&amp;Table1_1[[#This Row],[Series Name]]&amp;"|"&amp;Table1_1[[#This Row],[Years]]</f>
        <v>Australia|Exports of goods and services (% of GDP)|2020</v>
      </c>
    </row>
    <row r="1549" spans="1:7" x14ac:dyDescent="0.3">
      <c r="A1549" s="2" t="s">
        <v>116</v>
      </c>
      <c r="B1549" s="2" t="s">
        <v>138</v>
      </c>
      <c r="C1549" s="2" t="s">
        <v>70</v>
      </c>
      <c r="D1549" s="2" t="s">
        <v>147</v>
      </c>
      <c r="E1549" s="2" t="s">
        <v>163</v>
      </c>
      <c r="F1549" s="2">
        <v>22.001814422892526</v>
      </c>
      <c r="G1549" s="2" t="str">
        <f>Table1_1[[#This Row],[Country Name]]&amp;"|"&amp;Table1_1[[#This Row],[Series Name]]&amp;"|"&amp;Table1_1[[#This Row],[Years]]</f>
        <v>Australia|Exports of goods and services (% of GDP)|2021</v>
      </c>
    </row>
    <row r="1550" spans="1:7" x14ac:dyDescent="0.3">
      <c r="A1550" s="2" t="s">
        <v>116</v>
      </c>
      <c r="B1550" s="2" t="s">
        <v>138</v>
      </c>
      <c r="C1550" s="2" t="s">
        <v>70</v>
      </c>
      <c r="D1550" s="2" t="s">
        <v>147</v>
      </c>
      <c r="E1550" s="2" t="s">
        <v>164</v>
      </c>
      <c r="F1550" s="2">
        <v>25.46152983736588</v>
      </c>
      <c r="G1550" s="2" t="str">
        <f>Table1_1[[#This Row],[Country Name]]&amp;"|"&amp;Table1_1[[#This Row],[Series Name]]&amp;"|"&amp;Table1_1[[#This Row],[Years]]</f>
        <v>Australia|Exports of goods and services (% of GDP)|2022</v>
      </c>
    </row>
    <row r="1551" spans="1:7" x14ac:dyDescent="0.3">
      <c r="A1551" s="2" t="s">
        <v>116</v>
      </c>
      <c r="B1551" s="2" t="s">
        <v>138</v>
      </c>
      <c r="C1551" s="2" t="s">
        <v>70</v>
      </c>
      <c r="D1551" s="2" t="s">
        <v>147</v>
      </c>
      <c r="E1551" s="2" t="s">
        <v>165</v>
      </c>
      <c r="F1551" s="2">
        <v>26.701068252275018</v>
      </c>
      <c r="G1551" s="2" t="str">
        <f>Table1_1[[#This Row],[Country Name]]&amp;"|"&amp;Table1_1[[#This Row],[Series Name]]&amp;"|"&amp;Table1_1[[#This Row],[Years]]</f>
        <v>Australia|Exports of goods and services (% of GDP)|2023</v>
      </c>
    </row>
    <row r="1552" spans="1:7" x14ac:dyDescent="0.3">
      <c r="A1552" s="2" t="s">
        <v>116</v>
      </c>
      <c r="B1552" s="2" t="s">
        <v>138</v>
      </c>
      <c r="C1552" s="2" t="s">
        <v>70</v>
      </c>
      <c r="D1552" s="2" t="s">
        <v>147</v>
      </c>
      <c r="E1552" s="2" t="s">
        <v>166</v>
      </c>
      <c r="F1552" s="2">
        <v>24.621524052947265</v>
      </c>
      <c r="G1552" s="2" t="str">
        <f>Table1_1[[#This Row],[Country Name]]&amp;"|"&amp;Table1_1[[#This Row],[Series Name]]&amp;"|"&amp;Table1_1[[#This Row],[Years]]</f>
        <v>Australia|Exports of goods and services (% of GDP)|2024</v>
      </c>
    </row>
    <row r="1553" spans="1:7" x14ac:dyDescent="0.3">
      <c r="A1553" s="2" t="s">
        <v>116</v>
      </c>
      <c r="B1553" s="2" t="s">
        <v>138</v>
      </c>
      <c r="C1553" s="2" t="s">
        <v>70</v>
      </c>
      <c r="D1553" s="2" t="s">
        <v>147</v>
      </c>
      <c r="E1553" s="2" t="s">
        <v>167</v>
      </c>
      <c r="F1553" s="2">
        <v>23.244438350899653</v>
      </c>
      <c r="G1553" s="2" t="str">
        <f>Table1_1[[#This Row],[Country Name]]&amp;"|"&amp;Table1_1[[#This Row],[Series Name]]&amp;"|"&amp;Table1_1[[#This Row],[Years]]</f>
        <v>Australia|Exports of goods and services (% of GDP)|2025</v>
      </c>
    </row>
    <row r="1554" spans="1:7" x14ac:dyDescent="0.3">
      <c r="A1554" s="2" t="s">
        <v>116</v>
      </c>
      <c r="B1554" s="2" t="s">
        <v>138</v>
      </c>
      <c r="C1554" s="2" t="s">
        <v>56</v>
      </c>
      <c r="D1554" s="2" t="s">
        <v>14</v>
      </c>
      <c r="E1554" s="2" t="s">
        <v>152</v>
      </c>
      <c r="F1554" s="2">
        <v>20.658283373644977</v>
      </c>
      <c r="G1554" s="2" t="str">
        <f>Table1_1[[#This Row],[Country Name]]&amp;"|"&amp;Table1_1[[#This Row],[Series Name]]&amp;"|"&amp;Table1_1[[#This Row],[Years]]</f>
        <v>Australia|Imports of goods and services (% of GDP)|2010</v>
      </c>
    </row>
    <row r="1555" spans="1:7" x14ac:dyDescent="0.3">
      <c r="A1555" s="2" t="s">
        <v>116</v>
      </c>
      <c r="B1555" s="2" t="s">
        <v>138</v>
      </c>
      <c r="C1555" s="2" t="s">
        <v>56</v>
      </c>
      <c r="D1555" s="2" t="s">
        <v>14</v>
      </c>
      <c r="E1555" s="2" t="s">
        <v>153</v>
      </c>
      <c r="F1555" s="2">
        <v>20.350890755121405</v>
      </c>
      <c r="G1555" s="2" t="str">
        <f>Table1_1[[#This Row],[Country Name]]&amp;"|"&amp;Table1_1[[#This Row],[Series Name]]&amp;"|"&amp;Table1_1[[#This Row],[Years]]</f>
        <v>Australia|Imports of goods and services (% of GDP)|2011</v>
      </c>
    </row>
    <row r="1556" spans="1:7" x14ac:dyDescent="0.3">
      <c r="A1556" s="2" t="s">
        <v>116</v>
      </c>
      <c r="B1556" s="2" t="s">
        <v>138</v>
      </c>
      <c r="C1556" s="2" t="s">
        <v>56</v>
      </c>
      <c r="D1556" s="2" t="s">
        <v>14</v>
      </c>
      <c r="E1556" s="2" t="s">
        <v>154</v>
      </c>
      <c r="F1556" s="2">
        <v>21.598616528211018</v>
      </c>
      <c r="G1556" s="2" t="str">
        <f>Table1_1[[#This Row],[Country Name]]&amp;"|"&amp;Table1_1[[#This Row],[Series Name]]&amp;"|"&amp;Table1_1[[#This Row],[Years]]</f>
        <v>Australia|Imports of goods and services (% of GDP)|2012</v>
      </c>
    </row>
    <row r="1557" spans="1:7" x14ac:dyDescent="0.3">
      <c r="A1557" s="2" t="s">
        <v>116</v>
      </c>
      <c r="B1557" s="2" t="s">
        <v>138</v>
      </c>
      <c r="C1557" s="2" t="s">
        <v>56</v>
      </c>
      <c r="D1557" s="2" t="s">
        <v>14</v>
      </c>
      <c r="E1557" s="2" t="s">
        <v>155</v>
      </c>
      <c r="F1557" s="2">
        <v>21.207370776268721</v>
      </c>
      <c r="G1557" s="2" t="str">
        <f>Table1_1[[#This Row],[Country Name]]&amp;"|"&amp;Table1_1[[#This Row],[Series Name]]&amp;"|"&amp;Table1_1[[#This Row],[Years]]</f>
        <v>Australia|Imports of goods and services (% of GDP)|2013</v>
      </c>
    </row>
    <row r="1558" spans="1:7" x14ac:dyDescent="0.3">
      <c r="A1558" s="2" t="s">
        <v>116</v>
      </c>
      <c r="B1558" s="2" t="s">
        <v>138</v>
      </c>
      <c r="C1558" s="2" t="s">
        <v>56</v>
      </c>
      <c r="D1558" s="2" t="s">
        <v>14</v>
      </c>
      <c r="E1558" s="2" t="s">
        <v>156</v>
      </c>
      <c r="F1558" s="2">
        <v>21.303391547247525</v>
      </c>
      <c r="G1558" s="2" t="str">
        <f>Table1_1[[#This Row],[Country Name]]&amp;"|"&amp;Table1_1[[#This Row],[Series Name]]&amp;"|"&amp;Table1_1[[#This Row],[Years]]</f>
        <v>Australia|Imports of goods and services (% of GDP)|2014</v>
      </c>
    </row>
    <row r="1559" spans="1:7" x14ac:dyDescent="0.3">
      <c r="A1559" s="2" t="s">
        <v>116</v>
      </c>
      <c r="B1559" s="2" t="s">
        <v>138</v>
      </c>
      <c r="C1559" s="2" t="s">
        <v>56</v>
      </c>
      <c r="D1559" s="2" t="s">
        <v>14</v>
      </c>
      <c r="E1559" s="2" t="s">
        <v>157</v>
      </c>
      <c r="F1559" s="2">
        <v>21.510105243664562</v>
      </c>
      <c r="G1559" s="2" t="str">
        <f>Table1_1[[#This Row],[Country Name]]&amp;"|"&amp;Table1_1[[#This Row],[Series Name]]&amp;"|"&amp;Table1_1[[#This Row],[Years]]</f>
        <v>Australia|Imports of goods and services (% of GDP)|2015</v>
      </c>
    </row>
    <row r="1560" spans="1:7" x14ac:dyDescent="0.3">
      <c r="A1560" s="2" t="s">
        <v>116</v>
      </c>
      <c r="B1560" s="2" t="s">
        <v>138</v>
      </c>
      <c r="C1560" s="2" t="s">
        <v>56</v>
      </c>
      <c r="D1560" s="2" t="s">
        <v>14</v>
      </c>
      <c r="E1560" s="2" t="s">
        <v>158</v>
      </c>
      <c r="F1560" s="2">
        <v>21.610258338985883</v>
      </c>
      <c r="G1560" s="2" t="str">
        <f>Table1_1[[#This Row],[Country Name]]&amp;"|"&amp;Table1_1[[#This Row],[Series Name]]&amp;"|"&amp;Table1_1[[#This Row],[Years]]</f>
        <v>Australia|Imports of goods and services (% of GDP)|2016</v>
      </c>
    </row>
    <row r="1561" spans="1:7" x14ac:dyDescent="0.3">
      <c r="A1561" s="2" t="s">
        <v>116</v>
      </c>
      <c r="B1561" s="2" t="s">
        <v>138</v>
      </c>
      <c r="C1561" s="2" t="s">
        <v>56</v>
      </c>
      <c r="D1561" s="2" t="s">
        <v>14</v>
      </c>
      <c r="E1561" s="2" t="s">
        <v>159</v>
      </c>
      <c r="F1561" s="2">
        <v>20.86357230407782</v>
      </c>
      <c r="G1561" s="2" t="str">
        <f>Table1_1[[#This Row],[Country Name]]&amp;"|"&amp;Table1_1[[#This Row],[Series Name]]&amp;"|"&amp;Table1_1[[#This Row],[Years]]</f>
        <v>Australia|Imports of goods and services (% of GDP)|2017</v>
      </c>
    </row>
    <row r="1562" spans="1:7" x14ac:dyDescent="0.3">
      <c r="A1562" s="2" t="s">
        <v>116</v>
      </c>
      <c r="B1562" s="2" t="s">
        <v>138</v>
      </c>
      <c r="C1562" s="2" t="s">
        <v>56</v>
      </c>
      <c r="D1562" s="2" t="s">
        <v>14</v>
      </c>
      <c r="E1562" s="2" t="s">
        <v>160</v>
      </c>
      <c r="F1562" s="2">
        <v>21.760651707015249</v>
      </c>
      <c r="G1562" s="2" t="str">
        <f>Table1_1[[#This Row],[Country Name]]&amp;"|"&amp;Table1_1[[#This Row],[Series Name]]&amp;"|"&amp;Table1_1[[#This Row],[Years]]</f>
        <v>Australia|Imports of goods and services (% of GDP)|2018</v>
      </c>
    </row>
    <row r="1563" spans="1:7" x14ac:dyDescent="0.3">
      <c r="A1563" s="2" t="s">
        <v>116</v>
      </c>
      <c r="B1563" s="2" t="s">
        <v>138</v>
      </c>
      <c r="C1563" s="2" t="s">
        <v>56</v>
      </c>
      <c r="D1563" s="2" t="s">
        <v>14</v>
      </c>
      <c r="E1563" s="2" t="s">
        <v>161</v>
      </c>
      <c r="F1563" s="2">
        <v>21.939202684144981</v>
      </c>
      <c r="G1563" s="2" t="str">
        <f>Table1_1[[#This Row],[Country Name]]&amp;"|"&amp;Table1_1[[#This Row],[Series Name]]&amp;"|"&amp;Table1_1[[#This Row],[Years]]</f>
        <v>Australia|Imports of goods and services (% of GDP)|2019</v>
      </c>
    </row>
    <row r="1564" spans="1:7" x14ac:dyDescent="0.3">
      <c r="A1564" s="2" t="s">
        <v>116</v>
      </c>
      <c r="B1564" s="2" t="s">
        <v>138</v>
      </c>
      <c r="C1564" s="2" t="s">
        <v>56</v>
      </c>
      <c r="D1564" s="2" t="s">
        <v>14</v>
      </c>
      <c r="E1564" s="2" t="s">
        <v>162</v>
      </c>
      <c r="F1564" s="2">
        <v>20.56152671233772</v>
      </c>
      <c r="G1564" s="2" t="str">
        <f>Table1_1[[#This Row],[Country Name]]&amp;"|"&amp;Table1_1[[#This Row],[Series Name]]&amp;"|"&amp;Table1_1[[#This Row],[Years]]</f>
        <v>Australia|Imports of goods and services (% of GDP)|2020</v>
      </c>
    </row>
    <row r="1565" spans="1:7" x14ac:dyDescent="0.3">
      <c r="A1565" s="2" t="s">
        <v>116</v>
      </c>
      <c r="B1565" s="2" t="s">
        <v>138</v>
      </c>
      <c r="C1565" s="2" t="s">
        <v>56</v>
      </c>
      <c r="D1565" s="2" t="s">
        <v>14</v>
      </c>
      <c r="E1565" s="2" t="s">
        <v>163</v>
      </c>
      <c r="F1565" s="2">
        <v>18.200421516166969</v>
      </c>
      <c r="G1565" s="2" t="str">
        <f>Table1_1[[#This Row],[Country Name]]&amp;"|"&amp;Table1_1[[#This Row],[Series Name]]&amp;"|"&amp;Table1_1[[#This Row],[Years]]</f>
        <v>Australia|Imports of goods and services (% of GDP)|2021</v>
      </c>
    </row>
    <row r="1566" spans="1:7" x14ac:dyDescent="0.3">
      <c r="A1566" s="2" t="s">
        <v>116</v>
      </c>
      <c r="B1566" s="2" t="s">
        <v>138</v>
      </c>
      <c r="C1566" s="2" t="s">
        <v>56</v>
      </c>
      <c r="D1566" s="2" t="s">
        <v>14</v>
      </c>
      <c r="E1566" s="2" t="s">
        <v>164</v>
      </c>
      <c r="F1566" s="2">
        <v>20.233112043209342</v>
      </c>
      <c r="G1566" s="2" t="str">
        <f>Table1_1[[#This Row],[Country Name]]&amp;"|"&amp;Table1_1[[#This Row],[Series Name]]&amp;"|"&amp;Table1_1[[#This Row],[Years]]</f>
        <v>Australia|Imports of goods and services (% of GDP)|2022</v>
      </c>
    </row>
    <row r="1567" spans="1:7" x14ac:dyDescent="0.3">
      <c r="A1567" s="2" t="s">
        <v>116</v>
      </c>
      <c r="B1567" s="2" t="s">
        <v>138</v>
      </c>
      <c r="C1567" s="2" t="s">
        <v>56</v>
      </c>
      <c r="D1567" s="2" t="s">
        <v>14</v>
      </c>
      <c r="E1567" s="2" t="s">
        <v>165</v>
      </c>
      <c r="F1567" s="2">
        <v>22.343271066152944</v>
      </c>
      <c r="G1567" s="2" t="str">
        <f>Table1_1[[#This Row],[Country Name]]&amp;"|"&amp;Table1_1[[#This Row],[Series Name]]&amp;"|"&amp;Table1_1[[#This Row],[Years]]</f>
        <v>Australia|Imports of goods and services (% of GDP)|2023</v>
      </c>
    </row>
    <row r="1568" spans="1:7" x14ac:dyDescent="0.3">
      <c r="A1568" s="2" t="s">
        <v>116</v>
      </c>
      <c r="B1568" s="2" t="s">
        <v>138</v>
      </c>
      <c r="C1568" s="2" t="s">
        <v>56</v>
      </c>
      <c r="D1568" s="2" t="s">
        <v>14</v>
      </c>
      <c r="E1568" s="2" t="s">
        <v>166</v>
      </c>
      <c r="F1568" s="2">
        <v>22.523857053572261</v>
      </c>
      <c r="G1568" s="2" t="str">
        <f>Table1_1[[#This Row],[Country Name]]&amp;"|"&amp;Table1_1[[#This Row],[Series Name]]&amp;"|"&amp;Table1_1[[#This Row],[Years]]</f>
        <v>Australia|Imports of goods and services (% of GDP)|2024</v>
      </c>
    </row>
    <row r="1569" spans="1:7" x14ac:dyDescent="0.3">
      <c r="A1569" s="2" t="s">
        <v>116</v>
      </c>
      <c r="B1569" s="2" t="s">
        <v>138</v>
      </c>
      <c r="C1569" s="2" t="s">
        <v>56</v>
      </c>
      <c r="D1569" s="2" t="s">
        <v>14</v>
      </c>
      <c r="E1569" s="2" t="s">
        <v>167</v>
      </c>
      <c r="F1569" s="2">
        <v>22.657011037112927</v>
      </c>
      <c r="G1569" s="2" t="str">
        <f>Table1_1[[#This Row],[Country Name]]&amp;"|"&amp;Table1_1[[#This Row],[Series Name]]&amp;"|"&amp;Table1_1[[#This Row],[Years]]</f>
        <v>Australia|Imports of goods and services (% of GDP)|2025</v>
      </c>
    </row>
    <row r="1570" spans="1:7" x14ac:dyDescent="0.3">
      <c r="A1570" s="2" t="s">
        <v>116</v>
      </c>
      <c r="B1570" s="2" t="s">
        <v>138</v>
      </c>
      <c r="C1570" s="2" t="s">
        <v>13</v>
      </c>
      <c r="D1570" s="2" t="s">
        <v>123</v>
      </c>
      <c r="E1570" s="2" t="s">
        <v>152</v>
      </c>
      <c r="F1570" s="2">
        <v>35554698682.424698</v>
      </c>
      <c r="G1570" s="2" t="str">
        <f>Table1_1[[#This Row],[Country Name]]&amp;"|"&amp;Table1_1[[#This Row],[Series Name]]&amp;"|"&amp;Table1_1[[#This Row],[Years]]</f>
        <v>Australia|Foreign direct investment, net inflows (BoP, current US$)|2010</v>
      </c>
    </row>
    <row r="1571" spans="1:7" x14ac:dyDescent="0.3">
      <c r="A1571" s="2" t="s">
        <v>116</v>
      </c>
      <c r="B1571" s="2" t="s">
        <v>138</v>
      </c>
      <c r="C1571" s="2" t="s">
        <v>13</v>
      </c>
      <c r="D1571" s="2" t="s">
        <v>123</v>
      </c>
      <c r="E1571" s="2" t="s">
        <v>153</v>
      </c>
      <c r="F1571" s="2">
        <v>65578266555.523003</v>
      </c>
      <c r="G1571" s="2" t="str">
        <f>Table1_1[[#This Row],[Country Name]]&amp;"|"&amp;Table1_1[[#This Row],[Series Name]]&amp;"|"&amp;Table1_1[[#This Row],[Years]]</f>
        <v>Australia|Foreign direct investment, net inflows (BoP, current US$)|2011</v>
      </c>
    </row>
    <row r="1572" spans="1:7" x14ac:dyDescent="0.3">
      <c r="A1572" s="2" t="s">
        <v>116</v>
      </c>
      <c r="B1572" s="2" t="s">
        <v>138</v>
      </c>
      <c r="C1572" s="2" t="s">
        <v>13</v>
      </c>
      <c r="D1572" s="2" t="s">
        <v>123</v>
      </c>
      <c r="E1572" s="2" t="s">
        <v>154</v>
      </c>
      <c r="F1572" s="2">
        <v>57571285654.744698</v>
      </c>
      <c r="G1572" s="2" t="str">
        <f>Table1_1[[#This Row],[Country Name]]&amp;"|"&amp;Table1_1[[#This Row],[Series Name]]&amp;"|"&amp;Table1_1[[#This Row],[Years]]</f>
        <v>Australia|Foreign direct investment, net inflows (BoP, current US$)|2012</v>
      </c>
    </row>
    <row r="1573" spans="1:7" x14ac:dyDescent="0.3">
      <c r="A1573" s="2" t="s">
        <v>116</v>
      </c>
      <c r="B1573" s="2" t="s">
        <v>138</v>
      </c>
      <c r="C1573" s="2" t="s">
        <v>13</v>
      </c>
      <c r="D1573" s="2" t="s">
        <v>123</v>
      </c>
      <c r="E1573" s="2" t="s">
        <v>155</v>
      </c>
      <c r="F1573" s="2">
        <v>54472699003.596001</v>
      </c>
      <c r="G1573" s="2" t="str">
        <f>Table1_1[[#This Row],[Country Name]]&amp;"|"&amp;Table1_1[[#This Row],[Series Name]]&amp;"|"&amp;Table1_1[[#This Row],[Years]]</f>
        <v>Australia|Foreign direct investment, net inflows (BoP, current US$)|2013</v>
      </c>
    </row>
    <row r="1574" spans="1:7" x14ac:dyDescent="0.3">
      <c r="A1574" s="2" t="s">
        <v>116</v>
      </c>
      <c r="B1574" s="2" t="s">
        <v>138</v>
      </c>
      <c r="C1574" s="2" t="s">
        <v>13</v>
      </c>
      <c r="D1574" s="2" t="s">
        <v>123</v>
      </c>
      <c r="E1574" s="2" t="s">
        <v>156</v>
      </c>
      <c r="F1574" s="2">
        <v>63204516347.872498</v>
      </c>
      <c r="G1574" s="2" t="str">
        <f>Table1_1[[#This Row],[Country Name]]&amp;"|"&amp;Table1_1[[#This Row],[Series Name]]&amp;"|"&amp;Table1_1[[#This Row],[Years]]</f>
        <v>Australia|Foreign direct investment, net inflows (BoP, current US$)|2014</v>
      </c>
    </row>
    <row r="1575" spans="1:7" x14ac:dyDescent="0.3">
      <c r="A1575" s="2" t="s">
        <v>116</v>
      </c>
      <c r="B1575" s="2" t="s">
        <v>138</v>
      </c>
      <c r="C1575" s="2" t="s">
        <v>13</v>
      </c>
      <c r="D1575" s="2" t="s">
        <v>123</v>
      </c>
      <c r="E1575" s="2" t="s">
        <v>157</v>
      </c>
      <c r="F1575" s="2">
        <v>46892808567.851501</v>
      </c>
      <c r="G1575" s="2" t="str">
        <f>Table1_1[[#This Row],[Country Name]]&amp;"|"&amp;Table1_1[[#This Row],[Series Name]]&amp;"|"&amp;Table1_1[[#This Row],[Years]]</f>
        <v>Australia|Foreign direct investment, net inflows (BoP, current US$)|2015</v>
      </c>
    </row>
    <row r="1576" spans="1:7" x14ac:dyDescent="0.3">
      <c r="A1576" s="2" t="s">
        <v>116</v>
      </c>
      <c r="B1576" s="2" t="s">
        <v>138</v>
      </c>
      <c r="C1576" s="2" t="s">
        <v>13</v>
      </c>
      <c r="D1576" s="2" t="s">
        <v>123</v>
      </c>
      <c r="E1576" s="2" t="s">
        <v>158</v>
      </c>
      <c r="F1576" s="2">
        <v>42970225977.708702</v>
      </c>
      <c r="G1576" s="2" t="str">
        <f>Table1_1[[#This Row],[Country Name]]&amp;"|"&amp;Table1_1[[#This Row],[Series Name]]&amp;"|"&amp;Table1_1[[#This Row],[Years]]</f>
        <v>Australia|Foreign direct investment, net inflows (BoP, current US$)|2016</v>
      </c>
    </row>
    <row r="1577" spans="1:7" x14ac:dyDescent="0.3">
      <c r="A1577" s="2" t="s">
        <v>116</v>
      </c>
      <c r="B1577" s="2" t="s">
        <v>138</v>
      </c>
      <c r="C1577" s="2" t="s">
        <v>13</v>
      </c>
      <c r="D1577" s="2" t="s">
        <v>123</v>
      </c>
      <c r="E1577" s="2" t="s">
        <v>159</v>
      </c>
      <c r="F1577" s="2">
        <v>48199372039.901398</v>
      </c>
      <c r="G1577" s="2" t="str">
        <f>Table1_1[[#This Row],[Country Name]]&amp;"|"&amp;Table1_1[[#This Row],[Series Name]]&amp;"|"&amp;Table1_1[[#This Row],[Years]]</f>
        <v>Australia|Foreign direct investment, net inflows (BoP, current US$)|2017</v>
      </c>
    </row>
    <row r="1578" spans="1:7" x14ac:dyDescent="0.3">
      <c r="A1578" s="2" t="s">
        <v>116</v>
      </c>
      <c r="B1578" s="2" t="s">
        <v>138</v>
      </c>
      <c r="C1578" s="2" t="s">
        <v>13</v>
      </c>
      <c r="D1578" s="2" t="s">
        <v>123</v>
      </c>
      <c r="E1578" s="2" t="s">
        <v>160</v>
      </c>
      <c r="F1578" s="2">
        <v>60686639529.922897</v>
      </c>
      <c r="G1578" s="2" t="str">
        <f>Table1_1[[#This Row],[Country Name]]&amp;"|"&amp;Table1_1[[#This Row],[Series Name]]&amp;"|"&amp;Table1_1[[#This Row],[Years]]</f>
        <v>Australia|Foreign direct investment, net inflows (BoP, current US$)|2018</v>
      </c>
    </row>
    <row r="1579" spans="1:7" x14ac:dyDescent="0.3">
      <c r="A1579" s="2" t="s">
        <v>116</v>
      </c>
      <c r="B1579" s="2" t="s">
        <v>138</v>
      </c>
      <c r="C1579" s="2" t="s">
        <v>13</v>
      </c>
      <c r="D1579" s="2" t="s">
        <v>123</v>
      </c>
      <c r="E1579" s="2" t="s">
        <v>161</v>
      </c>
      <c r="F1579" s="2">
        <v>38745129661.119499</v>
      </c>
      <c r="G1579" s="2" t="str">
        <f>Table1_1[[#This Row],[Country Name]]&amp;"|"&amp;Table1_1[[#This Row],[Series Name]]&amp;"|"&amp;Table1_1[[#This Row],[Years]]</f>
        <v>Australia|Foreign direct investment, net inflows (BoP, current US$)|2019</v>
      </c>
    </row>
    <row r="1580" spans="1:7" x14ac:dyDescent="0.3">
      <c r="A1580" s="2" t="s">
        <v>116</v>
      </c>
      <c r="B1580" s="2" t="s">
        <v>138</v>
      </c>
      <c r="C1580" s="2" t="s">
        <v>13</v>
      </c>
      <c r="D1580" s="2" t="s">
        <v>123</v>
      </c>
      <c r="E1580" s="2" t="s">
        <v>162</v>
      </c>
      <c r="F1580" s="2">
        <v>17976843681.311699</v>
      </c>
      <c r="G1580" s="2" t="str">
        <f>Table1_1[[#This Row],[Country Name]]&amp;"|"&amp;Table1_1[[#This Row],[Series Name]]&amp;"|"&amp;Table1_1[[#This Row],[Years]]</f>
        <v>Australia|Foreign direct investment, net inflows (BoP, current US$)|2020</v>
      </c>
    </row>
    <row r="1581" spans="1:7" x14ac:dyDescent="0.3">
      <c r="A1581" s="2" t="s">
        <v>116</v>
      </c>
      <c r="B1581" s="2" t="s">
        <v>138</v>
      </c>
      <c r="C1581" s="2" t="s">
        <v>13</v>
      </c>
      <c r="D1581" s="2" t="s">
        <v>123</v>
      </c>
      <c r="E1581" s="2" t="s">
        <v>163</v>
      </c>
      <c r="F1581" s="2">
        <v>31453060427.452999</v>
      </c>
      <c r="G1581" s="2" t="str">
        <f>Table1_1[[#This Row],[Country Name]]&amp;"|"&amp;Table1_1[[#This Row],[Series Name]]&amp;"|"&amp;Table1_1[[#This Row],[Years]]</f>
        <v>Australia|Foreign direct investment, net inflows (BoP, current US$)|2021</v>
      </c>
    </row>
    <row r="1582" spans="1:7" x14ac:dyDescent="0.3">
      <c r="A1582" s="2" t="s">
        <v>116</v>
      </c>
      <c r="B1582" s="2" t="s">
        <v>138</v>
      </c>
      <c r="C1582" s="2" t="s">
        <v>13</v>
      </c>
      <c r="D1582" s="2" t="s">
        <v>123</v>
      </c>
      <c r="E1582" s="2" t="s">
        <v>164</v>
      </c>
      <c r="F1582" s="2">
        <v>68709419796.645798</v>
      </c>
      <c r="G1582" s="2" t="str">
        <f>Table1_1[[#This Row],[Country Name]]&amp;"|"&amp;Table1_1[[#This Row],[Series Name]]&amp;"|"&amp;Table1_1[[#This Row],[Years]]</f>
        <v>Australia|Foreign direct investment, net inflows (BoP, current US$)|2022</v>
      </c>
    </row>
    <row r="1583" spans="1:7" x14ac:dyDescent="0.3">
      <c r="A1583" s="2" t="s">
        <v>116</v>
      </c>
      <c r="B1583" s="2" t="s">
        <v>138</v>
      </c>
      <c r="C1583" s="2" t="s">
        <v>13</v>
      </c>
      <c r="D1583" s="2" t="s">
        <v>123</v>
      </c>
      <c r="E1583" s="2" t="s">
        <v>165</v>
      </c>
      <c r="F1583" s="2">
        <v>35315978153.095497</v>
      </c>
      <c r="G1583" s="2" t="str">
        <f>Table1_1[[#This Row],[Country Name]]&amp;"|"&amp;Table1_1[[#This Row],[Series Name]]&amp;"|"&amp;Table1_1[[#This Row],[Years]]</f>
        <v>Australia|Foreign direct investment, net inflows (BoP, current US$)|2023</v>
      </c>
    </row>
    <row r="1584" spans="1:7" x14ac:dyDescent="0.3">
      <c r="A1584" s="2" t="s">
        <v>116</v>
      </c>
      <c r="B1584" s="2" t="s">
        <v>138</v>
      </c>
      <c r="C1584" s="2" t="s">
        <v>13</v>
      </c>
      <c r="D1584" s="2" t="s">
        <v>123</v>
      </c>
      <c r="E1584" s="2" t="s">
        <v>166</v>
      </c>
      <c r="F1584" s="2">
        <v>53722899427.803101</v>
      </c>
      <c r="G1584" s="2" t="str">
        <f>Table1_1[[#This Row],[Country Name]]&amp;"|"&amp;Table1_1[[#This Row],[Series Name]]&amp;"|"&amp;Table1_1[[#This Row],[Years]]</f>
        <v>Australia|Foreign direct investment, net inflows (BoP, current US$)|2024</v>
      </c>
    </row>
    <row r="1585" spans="1:7" x14ac:dyDescent="0.3">
      <c r="A1585" s="2" t="s">
        <v>116</v>
      </c>
      <c r="B1585" s="2" t="s">
        <v>138</v>
      </c>
      <c r="C1585" s="2" t="s">
        <v>13</v>
      </c>
      <c r="D1585" s="2" t="s">
        <v>123</v>
      </c>
      <c r="E1585" s="2" t="s">
        <v>167</v>
      </c>
      <c r="F1585" s="2">
        <v>36521352076.921204</v>
      </c>
      <c r="G1585" s="2" t="str">
        <f>Table1_1[[#This Row],[Country Name]]&amp;"|"&amp;Table1_1[[#This Row],[Series Name]]&amp;"|"&amp;Table1_1[[#This Row],[Years]]</f>
        <v>Australia|Foreign direct investment, net inflows (BoP, current US$)|2025</v>
      </c>
    </row>
    <row r="1586" spans="1:7" x14ac:dyDescent="0.3">
      <c r="A1586" s="2" t="s">
        <v>116</v>
      </c>
      <c r="B1586" s="2" t="s">
        <v>138</v>
      </c>
      <c r="C1586" s="2" t="s">
        <v>107</v>
      </c>
      <c r="D1586" s="2" t="s">
        <v>106</v>
      </c>
      <c r="E1586" s="2" t="s">
        <v>152</v>
      </c>
      <c r="F1586" s="2">
        <v>22031750</v>
      </c>
      <c r="G1586" s="2" t="str">
        <f>Table1_1[[#This Row],[Country Name]]&amp;"|"&amp;Table1_1[[#This Row],[Series Name]]&amp;"|"&amp;Table1_1[[#This Row],[Years]]</f>
        <v>Australia|Population, total|2010</v>
      </c>
    </row>
    <row r="1587" spans="1:7" x14ac:dyDescent="0.3">
      <c r="A1587" s="2" t="s">
        <v>116</v>
      </c>
      <c r="B1587" s="2" t="s">
        <v>138</v>
      </c>
      <c r="C1587" s="2" t="s">
        <v>107</v>
      </c>
      <c r="D1587" s="2" t="s">
        <v>106</v>
      </c>
      <c r="E1587" s="2" t="s">
        <v>153</v>
      </c>
      <c r="F1587" s="2">
        <v>22340024</v>
      </c>
      <c r="G1587" s="2" t="str">
        <f>Table1_1[[#This Row],[Country Name]]&amp;"|"&amp;Table1_1[[#This Row],[Series Name]]&amp;"|"&amp;Table1_1[[#This Row],[Years]]</f>
        <v>Australia|Population, total|2011</v>
      </c>
    </row>
    <row r="1588" spans="1:7" x14ac:dyDescent="0.3">
      <c r="A1588" s="2" t="s">
        <v>116</v>
      </c>
      <c r="B1588" s="2" t="s">
        <v>138</v>
      </c>
      <c r="C1588" s="2" t="s">
        <v>107</v>
      </c>
      <c r="D1588" s="2" t="s">
        <v>106</v>
      </c>
      <c r="E1588" s="2" t="s">
        <v>154</v>
      </c>
      <c r="F1588" s="2">
        <v>22733465</v>
      </c>
      <c r="G1588" s="2" t="str">
        <f>Table1_1[[#This Row],[Country Name]]&amp;"|"&amp;Table1_1[[#This Row],[Series Name]]&amp;"|"&amp;Table1_1[[#This Row],[Years]]</f>
        <v>Australia|Population, total|2012</v>
      </c>
    </row>
    <row r="1589" spans="1:7" x14ac:dyDescent="0.3">
      <c r="A1589" s="2" t="s">
        <v>116</v>
      </c>
      <c r="B1589" s="2" t="s">
        <v>138</v>
      </c>
      <c r="C1589" s="2" t="s">
        <v>107</v>
      </c>
      <c r="D1589" s="2" t="s">
        <v>106</v>
      </c>
      <c r="E1589" s="2" t="s">
        <v>155</v>
      </c>
      <c r="F1589" s="2">
        <v>23128129</v>
      </c>
      <c r="G1589" s="2" t="str">
        <f>Table1_1[[#This Row],[Country Name]]&amp;"|"&amp;Table1_1[[#This Row],[Series Name]]&amp;"|"&amp;Table1_1[[#This Row],[Years]]</f>
        <v>Australia|Population, total|2013</v>
      </c>
    </row>
    <row r="1590" spans="1:7" x14ac:dyDescent="0.3">
      <c r="A1590" s="2" t="s">
        <v>116</v>
      </c>
      <c r="B1590" s="2" t="s">
        <v>138</v>
      </c>
      <c r="C1590" s="2" t="s">
        <v>107</v>
      </c>
      <c r="D1590" s="2" t="s">
        <v>106</v>
      </c>
      <c r="E1590" s="2" t="s">
        <v>156</v>
      </c>
      <c r="F1590" s="2">
        <v>23475686</v>
      </c>
      <c r="G1590" s="2" t="str">
        <f>Table1_1[[#This Row],[Country Name]]&amp;"|"&amp;Table1_1[[#This Row],[Series Name]]&amp;"|"&amp;Table1_1[[#This Row],[Years]]</f>
        <v>Australia|Population, total|2014</v>
      </c>
    </row>
    <row r="1591" spans="1:7" x14ac:dyDescent="0.3">
      <c r="A1591" s="2" t="s">
        <v>116</v>
      </c>
      <c r="B1591" s="2" t="s">
        <v>138</v>
      </c>
      <c r="C1591" s="2" t="s">
        <v>107</v>
      </c>
      <c r="D1591" s="2" t="s">
        <v>106</v>
      </c>
      <c r="E1591" s="2" t="s">
        <v>157</v>
      </c>
      <c r="F1591" s="2">
        <v>23815995</v>
      </c>
      <c r="G1591" s="2" t="str">
        <f>Table1_1[[#This Row],[Country Name]]&amp;"|"&amp;Table1_1[[#This Row],[Series Name]]&amp;"|"&amp;Table1_1[[#This Row],[Years]]</f>
        <v>Australia|Population, total|2015</v>
      </c>
    </row>
    <row r="1592" spans="1:7" x14ac:dyDescent="0.3">
      <c r="A1592" s="2" t="s">
        <v>116</v>
      </c>
      <c r="B1592" s="2" t="s">
        <v>138</v>
      </c>
      <c r="C1592" s="2" t="s">
        <v>107</v>
      </c>
      <c r="D1592" s="2" t="s">
        <v>106</v>
      </c>
      <c r="E1592" s="2" t="s">
        <v>158</v>
      </c>
      <c r="F1592" s="2">
        <v>24190907</v>
      </c>
      <c r="G1592" s="2" t="str">
        <f>Table1_1[[#This Row],[Country Name]]&amp;"|"&amp;Table1_1[[#This Row],[Series Name]]&amp;"|"&amp;Table1_1[[#This Row],[Years]]</f>
        <v>Australia|Population, total|2016</v>
      </c>
    </row>
    <row r="1593" spans="1:7" x14ac:dyDescent="0.3">
      <c r="A1593" s="2" t="s">
        <v>116</v>
      </c>
      <c r="B1593" s="2" t="s">
        <v>138</v>
      </c>
      <c r="C1593" s="2" t="s">
        <v>107</v>
      </c>
      <c r="D1593" s="2" t="s">
        <v>106</v>
      </c>
      <c r="E1593" s="2" t="s">
        <v>159</v>
      </c>
      <c r="F1593" s="2">
        <v>24592588</v>
      </c>
      <c r="G1593" s="2" t="str">
        <f>Table1_1[[#This Row],[Country Name]]&amp;"|"&amp;Table1_1[[#This Row],[Series Name]]&amp;"|"&amp;Table1_1[[#This Row],[Years]]</f>
        <v>Australia|Population, total|2017</v>
      </c>
    </row>
    <row r="1594" spans="1:7" x14ac:dyDescent="0.3">
      <c r="A1594" s="2" t="s">
        <v>116</v>
      </c>
      <c r="B1594" s="2" t="s">
        <v>138</v>
      </c>
      <c r="C1594" s="2" t="s">
        <v>107</v>
      </c>
      <c r="D1594" s="2" t="s">
        <v>106</v>
      </c>
      <c r="E1594" s="2" t="s">
        <v>160</v>
      </c>
      <c r="F1594" s="2">
        <v>24963258</v>
      </c>
      <c r="G1594" s="2" t="str">
        <f>Table1_1[[#This Row],[Country Name]]&amp;"|"&amp;Table1_1[[#This Row],[Series Name]]&amp;"|"&amp;Table1_1[[#This Row],[Years]]</f>
        <v>Australia|Population, total|2018</v>
      </c>
    </row>
    <row r="1595" spans="1:7" x14ac:dyDescent="0.3">
      <c r="A1595" s="2" t="s">
        <v>116</v>
      </c>
      <c r="B1595" s="2" t="s">
        <v>138</v>
      </c>
      <c r="C1595" s="2" t="s">
        <v>107</v>
      </c>
      <c r="D1595" s="2" t="s">
        <v>106</v>
      </c>
      <c r="E1595" s="2" t="s">
        <v>161</v>
      </c>
      <c r="F1595" s="2">
        <v>25334826</v>
      </c>
      <c r="G1595" s="2" t="str">
        <f>Table1_1[[#This Row],[Country Name]]&amp;"|"&amp;Table1_1[[#This Row],[Series Name]]&amp;"|"&amp;Table1_1[[#This Row],[Years]]</f>
        <v>Australia|Population, total|2019</v>
      </c>
    </row>
    <row r="1596" spans="1:7" x14ac:dyDescent="0.3">
      <c r="A1596" s="2" t="s">
        <v>116</v>
      </c>
      <c r="B1596" s="2" t="s">
        <v>138</v>
      </c>
      <c r="C1596" s="2" t="s">
        <v>107</v>
      </c>
      <c r="D1596" s="2" t="s">
        <v>106</v>
      </c>
      <c r="E1596" s="2" t="s">
        <v>162</v>
      </c>
      <c r="F1596" s="2">
        <v>25649248</v>
      </c>
      <c r="G1596" s="2" t="str">
        <f>Table1_1[[#This Row],[Country Name]]&amp;"|"&amp;Table1_1[[#This Row],[Series Name]]&amp;"|"&amp;Table1_1[[#This Row],[Years]]</f>
        <v>Australia|Population, total|2020</v>
      </c>
    </row>
    <row r="1597" spans="1:7" x14ac:dyDescent="0.3">
      <c r="A1597" s="2" t="s">
        <v>116</v>
      </c>
      <c r="B1597" s="2" t="s">
        <v>138</v>
      </c>
      <c r="C1597" s="2" t="s">
        <v>107</v>
      </c>
      <c r="D1597" s="2" t="s">
        <v>106</v>
      </c>
      <c r="E1597" s="2" t="s">
        <v>163</v>
      </c>
      <c r="F1597" s="2">
        <v>25685412</v>
      </c>
      <c r="G1597" s="2" t="str">
        <f>Table1_1[[#This Row],[Country Name]]&amp;"|"&amp;Table1_1[[#This Row],[Series Name]]&amp;"|"&amp;Table1_1[[#This Row],[Years]]</f>
        <v>Australia|Population, total|2021</v>
      </c>
    </row>
    <row r="1598" spans="1:7" x14ac:dyDescent="0.3">
      <c r="A1598" s="2" t="s">
        <v>116</v>
      </c>
      <c r="B1598" s="2" t="s">
        <v>138</v>
      </c>
      <c r="C1598" s="2" t="s">
        <v>107</v>
      </c>
      <c r="D1598" s="2" t="s">
        <v>106</v>
      </c>
      <c r="E1598" s="2" t="s">
        <v>164</v>
      </c>
      <c r="F1598" s="2">
        <v>26018721</v>
      </c>
      <c r="G1598" s="2" t="str">
        <f>Table1_1[[#This Row],[Country Name]]&amp;"|"&amp;Table1_1[[#This Row],[Series Name]]&amp;"|"&amp;Table1_1[[#This Row],[Years]]</f>
        <v>Australia|Population, total|2022</v>
      </c>
    </row>
    <row r="1599" spans="1:7" x14ac:dyDescent="0.3">
      <c r="A1599" s="2" t="s">
        <v>116</v>
      </c>
      <c r="B1599" s="2" t="s">
        <v>138</v>
      </c>
      <c r="C1599" s="2" t="s">
        <v>107</v>
      </c>
      <c r="D1599" s="2" t="s">
        <v>106</v>
      </c>
      <c r="E1599" s="2" t="s">
        <v>165</v>
      </c>
      <c r="F1599" s="2">
        <v>26659922</v>
      </c>
      <c r="G1599" s="2" t="str">
        <f>Table1_1[[#This Row],[Country Name]]&amp;"|"&amp;Table1_1[[#This Row],[Series Name]]&amp;"|"&amp;Table1_1[[#This Row],[Years]]</f>
        <v>Australia|Population, total|2023</v>
      </c>
    </row>
    <row r="1600" spans="1:7" x14ac:dyDescent="0.3">
      <c r="A1600" s="2" t="s">
        <v>116</v>
      </c>
      <c r="B1600" s="2" t="s">
        <v>138</v>
      </c>
      <c r="C1600" s="2" t="s">
        <v>107</v>
      </c>
      <c r="D1600" s="2" t="s">
        <v>106</v>
      </c>
      <c r="E1600" s="2" t="s">
        <v>166</v>
      </c>
      <c r="F1600" s="2">
        <v>27194286</v>
      </c>
      <c r="G1600" s="2" t="str">
        <f>Table1_1[[#This Row],[Country Name]]&amp;"|"&amp;Table1_1[[#This Row],[Series Name]]&amp;"|"&amp;Table1_1[[#This Row],[Years]]</f>
        <v>Australia|Population, total|2024</v>
      </c>
    </row>
    <row r="1601" spans="1:7" x14ac:dyDescent="0.3">
      <c r="A1601" s="2" t="s">
        <v>116</v>
      </c>
      <c r="B1601" s="2" t="s">
        <v>138</v>
      </c>
      <c r="C1601" s="2" t="s">
        <v>107</v>
      </c>
      <c r="D1601" s="2" t="s">
        <v>106</v>
      </c>
      <c r="E1601" s="2" t="s">
        <v>167</v>
      </c>
      <c r="F1601" s="2">
        <v>27614411</v>
      </c>
      <c r="G1601" s="2" t="str">
        <f>Table1_1[[#This Row],[Country Name]]&amp;"|"&amp;Table1_1[[#This Row],[Series Name]]&amp;"|"&amp;Table1_1[[#This Row],[Years]]</f>
        <v>Australia|Population, total|2025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CEFC-23BE-4571-8876-874ED3AC7092}">
  <dimension ref="A1:GK114"/>
  <sheetViews>
    <sheetView topLeftCell="F1" zoomScale="58" workbookViewId="0">
      <selection activeCell="A24" sqref="A24"/>
    </sheetView>
  </sheetViews>
  <sheetFormatPr defaultRowHeight="14.4" x14ac:dyDescent="0.3"/>
  <cols>
    <col min="1" max="1" width="14.77734375" style="2" bestFit="1" customWidth="1"/>
    <col min="2" max="2" width="15.44140625" style="2" bestFit="1" customWidth="1"/>
    <col min="3" max="3" width="33.6640625" style="2" customWidth="1"/>
    <col min="4" max="4" width="21.33203125" style="2" customWidth="1"/>
    <col min="5" max="5" width="14.77734375" style="2" bestFit="1" customWidth="1"/>
    <col min="6" max="6" width="24.21875" style="2" bestFit="1" customWidth="1"/>
    <col min="7" max="8" width="8.88671875" style="2"/>
    <col min="9" max="9" width="60" style="2" bestFit="1" customWidth="1"/>
    <col min="10" max="10" width="15.44140625" style="2" bestFit="1" customWidth="1"/>
    <col min="11" max="11" width="8.88671875" style="2"/>
    <col min="12" max="12" width="15.44140625" style="2" bestFit="1" customWidth="1"/>
    <col min="13" max="13" width="20.6640625" style="2" bestFit="1" customWidth="1"/>
    <col min="14" max="15" width="12" style="2" bestFit="1" customWidth="1"/>
    <col min="16" max="16" width="20.6640625" style="2" bestFit="1" customWidth="1"/>
    <col min="17" max="17" width="15.44140625" style="2" bestFit="1" customWidth="1"/>
    <col min="18" max="18" width="16.33203125" style="2" bestFit="1" customWidth="1"/>
    <col min="19" max="19" width="20.6640625" style="2" bestFit="1" customWidth="1"/>
    <col min="20" max="20" width="32.77734375" style="2" bestFit="1" customWidth="1"/>
    <col min="21" max="21" width="12" style="2" bestFit="1" customWidth="1"/>
    <col min="22" max="22" width="36.109375" style="2" bestFit="1" customWidth="1"/>
    <col min="23" max="23" width="32.77734375" style="2" bestFit="1" customWidth="1"/>
    <col min="24" max="24" width="21.77734375" style="2" bestFit="1" customWidth="1"/>
    <col min="25" max="25" width="45.6640625" style="2" bestFit="1" customWidth="1"/>
    <col min="26" max="26" width="15.21875" style="2" bestFit="1" customWidth="1"/>
    <col min="27" max="27" width="59.88671875" style="2" bestFit="1" customWidth="1"/>
    <col min="28" max="28" width="12" style="2" bestFit="1" customWidth="1"/>
    <col min="29" max="37" width="14.77734375" style="2" bestFit="1" customWidth="1"/>
    <col min="38" max="38" width="9.6640625" style="2" bestFit="1" customWidth="1"/>
    <col min="39" max="48" width="14.77734375" style="2" bestFit="1" customWidth="1"/>
    <col min="49" max="49" width="9.6640625" style="2" bestFit="1" customWidth="1"/>
    <col min="50" max="59" width="14.77734375" style="2" bestFit="1" customWidth="1"/>
    <col min="60" max="60" width="9.6640625" style="2" bestFit="1" customWidth="1"/>
    <col min="61" max="70" width="14.77734375" style="2" bestFit="1" customWidth="1"/>
    <col min="71" max="71" width="9.6640625" style="2" bestFit="1" customWidth="1"/>
    <col min="72" max="81" width="14.77734375" style="2" bestFit="1" customWidth="1"/>
    <col min="82" max="82" width="9.6640625" style="2" bestFit="1" customWidth="1"/>
    <col min="83" max="92" width="14.77734375" style="2" bestFit="1" customWidth="1"/>
    <col min="93" max="93" width="9.6640625" style="2" bestFit="1" customWidth="1"/>
    <col min="94" max="103" width="14.77734375" style="2" bestFit="1" customWidth="1"/>
    <col min="104" max="104" width="9.6640625" style="2" bestFit="1" customWidth="1"/>
    <col min="105" max="114" width="14.77734375" style="2" bestFit="1" customWidth="1"/>
    <col min="115" max="115" width="9.6640625" style="2" bestFit="1" customWidth="1"/>
    <col min="116" max="125" width="14.77734375" style="2" bestFit="1" customWidth="1"/>
    <col min="126" max="126" width="9.6640625" style="2" bestFit="1" customWidth="1"/>
    <col min="127" max="136" width="14.77734375" style="2" bestFit="1" customWidth="1"/>
    <col min="137" max="137" width="9.6640625" style="2" bestFit="1" customWidth="1"/>
    <col min="138" max="147" width="14.77734375" style="2" bestFit="1" customWidth="1"/>
    <col min="148" max="148" width="9.6640625" style="2" bestFit="1" customWidth="1"/>
    <col min="149" max="158" width="14.77734375" style="2" bestFit="1" customWidth="1"/>
    <col min="159" max="159" width="9.6640625" style="2" bestFit="1" customWidth="1"/>
    <col min="160" max="169" width="14.77734375" style="2" bestFit="1" customWidth="1"/>
    <col min="170" max="170" width="9.6640625" style="2" bestFit="1" customWidth="1"/>
    <col min="171" max="180" width="14.77734375" style="2" bestFit="1" customWidth="1"/>
    <col min="181" max="181" width="9.6640625" style="2" bestFit="1" customWidth="1"/>
    <col min="182" max="191" width="14.77734375" style="2" bestFit="1" customWidth="1"/>
    <col min="192" max="192" width="9.6640625" style="2" bestFit="1" customWidth="1"/>
    <col min="193" max="193" width="10.77734375" style="2" bestFit="1" customWidth="1"/>
    <col min="194" max="16384" width="8.88671875" style="2"/>
  </cols>
  <sheetData>
    <row r="1" spans="1:29" x14ac:dyDescent="0.3">
      <c r="A1" s="6" t="s">
        <v>189</v>
      </c>
      <c r="E1" s="7" t="s">
        <v>108</v>
      </c>
      <c r="F1" s="2" t="s">
        <v>67</v>
      </c>
      <c r="I1" s="6" t="s">
        <v>191</v>
      </c>
      <c r="L1" s="7" t="s">
        <v>108</v>
      </c>
      <c r="M1" s="2" t="s">
        <v>25</v>
      </c>
      <c r="O1" s="6" t="s">
        <v>192</v>
      </c>
    </row>
    <row r="2" spans="1:29" x14ac:dyDescent="0.3">
      <c r="D2" s="6" t="s">
        <v>190</v>
      </c>
    </row>
    <row r="3" spans="1:29" x14ac:dyDescent="0.3">
      <c r="A3" s="7" t="s">
        <v>178</v>
      </c>
      <c r="B3" s="2" t="s">
        <v>181</v>
      </c>
      <c r="E3" s="7" t="s">
        <v>178</v>
      </c>
      <c r="F3" s="2" t="s">
        <v>182</v>
      </c>
      <c r="I3" s="7" t="s">
        <v>178</v>
      </c>
      <c r="J3" s="2" t="s">
        <v>183</v>
      </c>
      <c r="L3" s="7" t="s">
        <v>182</v>
      </c>
      <c r="M3" s="7" t="s">
        <v>188</v>
      </c>
      <c r="O3"/>
      <c r="P3"/>
      <c r="Q3"/>
      <c r="R3"/>
      <c r="S3"/>
      <c r="T3"/>
      <c r="U3"/>
      <c r="V3"/>
      <c r="W3"/>
      <c r="X3"/>
      <c r="Y3"/>
      <c r="Z3"/>
      <c r="AA3"/>
      <c r="AB3"/>
      <c r="AC3"/>
    </row>
    <row r="4" spans="1:29" x14ac:dyDescent="0.3">
      <c r="A4" s="2" t="s">
        <v>116</v>
      </c>
      <c r="B4" s="2">
        <v>2.4080295002550001</v>
      </c>
      <c r="E4" s="2" t="s">
        <v>152</v>
      </c>
      <c r="F4" s="11">
        <v>49.676573002148572</v>
      </c>
      <c r="I4" s="2" t="s">
        <v>116</v>
      </c>
      <c r="J4" s="11">
        <v>159318008063.18106</v>
      </c>
      <c r="L4" s="7" t="s">
        <v>178</v>
      </c>
      <c r="M4" s="2" t="s">
        <v>167</v>
      </c>
      <c r="N4" s="2" t="s">
        <v>179</v>
      </c>
      <c r="O4"/>
      <c r="P4"/>
      <c r="Q4"/>
      <c r="R4"/>
      <c r="S4"/>
      <c r="T4"/>
      <c r="U4"/>
      <c r="V4"/>
      <c r="W4"/>
      <c r="X4"/>
      <c r="Y4"/>
      <c r="Z4"/>
      <c r="AA4"/>
      <c r="AB4"/>
      <c r="AC4"/>
    </row>
    <row r="5" spans="1:29" x14ac:dyDescent="0.3">
      <c r="A5" s="2" t="s">
        <v>44</v>
      </c>
      <c r="B5" s="2">
        <v>6.6250458075285188</v>
      </c>
      <c r="E5" s="2" t="s">
        <v>153</v>
      </c>
      <c r="F5" s="11">
        <v>37.215373105236168</v>
      </c>
      <c r="I5" s="2" t="s">
        <v>70</v>
      </c>
      <c r="J5" s="11">
        <v>22.226044226821536</v>
      </c>
      <c r="L5" s="2" t="s">
        <v>116</v>
      </c>
      <c r="M5" s="11">
        <v>1798518933689.2104</v>
      </c>
      <c r="N5" s="11">
        <v>1798518933689.2104</v>
      </c>
      <c r="O5"/>
      <c r="P5"/>
      <c r="Q5"/>
      <c r="R5"/>
      <c r="S5"/>
      <c r="T5"/>
      <c r="U5"/>
      <c r="V5"/>
      <c r="W5"/>
      <c r="X5"/>
      <c r="Y5"/>
      <c r="Z5"/>
      <c r="AA5"/>
      <c r="AB5"/>
      <c r="AC5"/>
    </row>
    <row r="6" spans="1:29" x14ac:dyDescent="0.3">
      <c r="A6" s="2" t="s">
        <v>149</v>
      </c>
      <c r="B6" s="2">
        <v>1.2619555263781939</v>
      </c>
      <c r="E6" s="2" t="s">
        <v>154</v>
      </c>
      <c r="F6" s="11">
        <v>37.727588141279881</v>
      </c>
      <c r="I6" s="2" t="s">
        <v>13</v>
      </c>
      <c r="J6" s="11">
        <v>47348449723.993439</v>
      </c>
      <c r="L6" s="2" t="s">
        <v>44</v>
      </c>
      <c r="M6" s="11">
        <v>19498039388042.609</v>
      </c>
      <c r="N6" s="11">
        <v>19498039388042.609</v>
      </c>
      <c r="O6"/>
      <c r="P6"/>
      <c r="Q6"/>
      <c r="R6"/>
      <c r="S6"/>
      <c r="T6"/>
      <c r="U6"/>
      <c r="V6"/>
      <c r="W6"/>
      <c r="X6"/>
      <c r="Y6"/>
      <c r="Z6"/>
      <c r="AA6"/>
      <c r="AB6"/>
      <c r="AC6"/>
    </row>
    <row r="7" spans="1:29" x14ac:dyDescent="0.3">
      <c r="A7" s="2" t="s">
        <v>52</v>
      </c>
      <c r="B7" s="2">
        <v>6.2351407230276816</v>
      </c>
      <c r="E7" s="2" t="s">
        <v>155</v>
      </c>
      <c r="F7" s="11">
        <v>37.667412063977778</v>
      </c>
      <c r="I7" s="2" t="s">
        <v>25</v>
      </c>
      <c r="J7" s="11">
        <v>1486062663536.124</v>
      </c>
      <c r="L7" s="2" t="s">
        <v>149</v>
      </c>
      <c r="M7" s="11">
        <v>5050922925047.0518</v>
      </c>
      <c r="N7" s="11">
        <v>5050922925047.0518</v>
      </c>
      <c r="O7"/>
      <c r="P7"/>
      <c r="Q7"/>
      <c r="R7"/>
      <c r="S7"/>
      <c r="T7"/>
      <c r="U7"/>
      <c r="V7"/>
      <c r="W7"/>
      <c r="X7"/>
      <c r="Y7"/>
      <c r="Z7"/>
      <c r="AA7"/>
      <c r="AB7"/>
      <c r="AC7"/>
    </row>
    <row r="8" spans="1:29" x14ac:dyDescent="0.3">
      <c r="A8" s="2" t="s">
        <v>102</v>
      </c>
      <c r="B8" s="2">
        <v>4.7684027362402919</v>
      </c>
      <c r="E8" s="2" t="s">
        <v>156</v>
      </c>
      <c r="F8" s="11">
        <v>41.372338127781944</v>
      </c>
      <c r="I8" s="2" t="s">
        <v>67</v>
      </c>
      <c r="J8" s="11">
        <v>2.4080295002550001</v>
      </c>
      <c r="L8" s="2" t="s">
        <v>52</v>
      </c>
      <c r="M8" s="11">
        <v>3956067115771.6313</v>
      </c>
      <c r="N8" s="11">
        <v>3956067115771.6313</v>
      </c>
      <c r="O8"/>
      <c r="P8"/>
      <c r="Q8"/>
      <c r="R8"/>
      <c r="S8"/>
      <c r="T8"/>
      <c r="U8"/>
      <c r="V8"/>
      <c r="W8"/>
      <c r="X8"/>
      <c r="Y8"/>
      <c r="Z8"/>
      <c r="AA8"/>
      <c r="AB8"/>
      <c r="AC8"/>
    </row>
    <row r="9" spans="1:29" x14ac:dyDescent="0.3">
      <c r="A9" s="2" t="s">
        <v>9</v>
      </c>
      <c r="B9" s="2">
        <v>0.96429145854166354</v>
      </c>
      <c r="E9" s="2" t="s">
        <v>157</v>
      </c>
      <c r="F9" s="11">
        <v>39.876960399068039</v>
      </c>
      <c r="I9" s="2" t="s">
        <v>56</v>
      </c>
      <c r="J9" s="11">
        <v>21.207596417933399</v>
      </c>
      <c r="L9" s="2" t="s">
        <v>102</v>
      </c>
      <c r="M9" s="11">
        <v>1445642584163.8086</v>
      </c>
      <c r="N9" s="11">
        <v>1445642584163.8086</v>
      </c>
      <c r="O9"/>
      <c r="P9"/>
      <c r="Q9"/>
      <c r="R9"/>
      <c r="S9"/>
      <c r="T9"/>
      <c r="U9"/>
      <c r="V9"/>
      <c r="W9"/>
      <c r="X9"/>
      <c r="Y9"/>
      <c r="Z9"/>
      <c r="AA9"/>
      <c r="AB9"/>
      <c r="AC9"/>
    </row>
    <row r="10" spans="1:29" x14ac:dyDescent="0.3">
      <c r="A10" s="2" t="s">
        <v>98</v>
      </c>
      <c r="B10" s="2">
        <v>4.6379377213356126</v>
      </c>
      <c r="E10" s="2" t="s">
        <v>158</v>
      </c>
      <c r="F10" s="11">
        <v>40.795504052515028</v>
      </c>
      <c r="I10" s="2" t="s">
        <v>79</v>
      </c>
      <c r="J10" s="11">
        <v>2.6950930037278398</v>
      </c>
      <c r="L10" s="2" t="s">
        <v>9</v>
      </c>
      <c r="M10" s="11">
        <v>4435162999976.9414</v>
      </c>
      <c r="N10" s="11">
        <v>4435162999976.9414</v>
      </c>
      <c r="O10"/>
      <c r="P10"/>
      <c r="Q10"/>
      <c r="R10"/>
      <c r="S10"/>
      <c r="T10"/>
      <c r="U10"/>
      <c r="V10"/>
      <c r="W10"/>
      <c r="X10"/>
      <c r="Y10"/>
      <c r="Z10"/>
      <c r="AA10"/>
      <c r="AB10"/>
      <c r="AC10"/>
    </row>
    <row r="11" spans="1:29" x14ac:dyDescent="0.3">
      <c r="A11" s="2" t="s">
        <v>39</v>
      </c>
      <c r="B11" s="2">
        <v>3.4968510104065622</v>
      </c>
      <c r="E11" s="2" t="s">
        <v>159</v>
      </c>
      <c r="F11" s="11">
        <v>41.197268948010802</v>
      </c>
      <c r="I11" s="2" t="s">
        <v>34</v>
      </c>
      <c r="J11" s="11">
        <v>6.0724</v>
      </c>
      <c r="L11" s="2" t="s">
        <v>98</v>
      </c>
      <c r="M11" s="11">
        <v>472193128644.59729</v>
      </c>
      <c r="N11" s="11">
        <v>472193128644.59729</v>
      </c>
      <c r="O11"/>
      <c r="P11"/>
      <c r="Q11"/>
      <c r="R11"/>
      <c r="S11"/>
      <c r="T11"/>
      <c r="U11"/>
      <c r="V11"/>
      <c r="W11"/>
      <c r="X11"/>
      <c r="Y11"/>
      <c r="Z11"/>
      <c r="AA11"/>
      <c r="AB11"/>
      <c r="AC11"/>
    </row>
    <row r="12" spans="1:29" x14ac:dyDescent="0.3">
      <c r="A12" s="2" t="s">
        <v>21</v>
      </c>
      <c r="B12" s="2">
        <v>1.6301220103457137</v>
      </c>
      <c r="E12" s="2" t="s">
        <v>160</v>
      </c>
      <c r="F12" s="11">
        <v>38.742584918937553</v>
      </c>
      <c r="I12" s="2" t="s">
        <v>83</v>
      </c>
      <c r="J12" s="11">
        <v>1.2954457463477587</v>
      </c>
      <c r="L12" s="2" t="s">
        <v>39</v>
      </c>
      <c r="M12" s="11">
        <v>407307214476.22186</v>
      </c>
      <c r="N12" s="11">
        <v>407307214476.22186</v>
      </c>
      <c r="O12"/>
      <c r="P12"/>
      <c r="Q12"/>
      <c r="R12"/>
      <c r="S12"/>
      <c r="T12"/>
      <c r="U12"/>
      <c r="V12"/>
      <c r="W12"/>
      <c r="X12"/>
      <c r="Y12"/>
      <c r="Z12"/>
      <c r="AA12"/>
      <c r="AB12"/>
      <c r="AC12"/>
    </row>
    <row r="13" spans="1:29" x14ac:dyDescent="0.3">
      <c r="A13" s="2" t="s">
        <v>94</v>
      </c>
      <c r="B13" s="2">
        <v>2.4029443785600435</v>
      </c>
      <c r="E13" s="2" t="s">
        <v>161</v>
      </c>
      <c r="F13" s="11">
        <v>28.572306175487469</v>
      </c>
      <c r="I13" s="2" t="s">
        <v>107</v>
      </c>
      <c r="J13" s="11">
        <v>24714289.25</v>
      </c>
      <c r="L13" s="2" t="s">
        <v>21</v>
      </c>
      <c r="M13" s="11">
        <v>4002587541846.0146</v>
      </c>
      <c r="N13" s="11">
        <v>4002587541846.0146</v>
      </c>
      <c r="O13"/>
      <c r="P13"/>
      <c r="Q13"/>
      <c r="R13"/>
      <c r="S13"/>
      <c r="T13"/>
      <c r="U13"/>
      <c r="V13"/>
      <c r="W13"/>
      <c r="X13"/>
      <c r="Y13"/>
      <c r="Z13"/>
      <c r="AA13"/>
      <c r="AB13"/>
      <c r="AC13"/>
    </row>
    <row r="14" spans="1:29" x14ac:dyDescent="0.3">
      <c r="A14" s="2" t="s">
        <v>179</v>
      </c>
      <c r="B14" s="2">
        <v>3.4430720872619283</v>
      </c>
      <c r="E14" s="2" t="s">
        <v>162</v>
      </c>
      <c r="F14" s="11">
        <v>-32.912665090456471</v>
      </c>
      <c r="I14" s="2" t="s">
        <v>146</v>
      </c>
      <c r="J14" s="11">
        <v>5.1220625000000002</v>
      </c>
      <c r="L14" s="2" t="s">
        <v>94</v>
      </c>
      <c r="M14" s="11">
        <v>30769700000000</v>
      </c>
      <c r="N14" s="11">
        <v>30769700000000</v>
      </c>
      <c r="O14"/>
      <c r="P14"/>
      <c r="Q14"/>
      <c r="R14"/>
      <c r="S14"/>
      <c r="T14"/>
      <c r="U14"/>
      <c r="V14"/>
      <c r="W14"/>
      <c r="X14"/>
      <c r="Y14"/>
      <c r="Z14"/>
      <c r="AA14"/>
      <c r="AB14"/>
      <c r="AC14"/>
    </row>
    <row r="15" spans="1:29" x14ac:dyDescent="0.3">
      <c r="E15" s="2" t="s">
        <v>163</v>
      </c>
      <c r="F15" s="11">
        <v>55.968375596668352</v>
      </c>
      <c r="I15" s="2" t="s">
        <v>44</v>
      </c>
      <c r="J15" s="11">
        <v>1372731680866.802</v>
      </c>
      <c r="L15" s="2" t="s">
        <v>179</v>
      </c>
      <c r="M15" s="11">
        <v>71836141831658.078</v>
      </c>
      <c r="N15" s="11">
        <v>71836141831658.078</v>
      </c>
      <c r="O15"/>
      <c r="P15"/>
      <c r="Q15"/>
      <c r="R15"/>
      <c r="S15"/>
      <c r="T15"/>
      <c r="U15"/>
      <c r="V15"/>
      <c r="W15"/>
      <c r="X15"/>
      <c r="Y15"/>
      <c r="Z15"/>
      <c r="AA15"/>
      <c r="AB15"/>
      <c r="AC15"/>
    </row>
    <row r="16" spans="1:29" x14ac:dyDescent="0.3">
      <c r="E16" s="2" t="s">
        <v>164</v>
      </c>
      <c r="F16" s="11">
        <v>44.928129646955156</v>
      </c>
      <c r="I16" s="2" t="s">
        <v>70</v>
      </c>
      <c r="J16" s="11">
        <v>21.276505520514089</v>
      </c>
    </row>
    <row r="17" spans="1:193" x14ac:dyDescent="0.3">
      <c r="E17" s="2" t="s">
        <v>165</v>
      </c>
      <c r="F17" s="11">
        <v>27.438158966760113</v>
      </c>
      <c r="I17" s="2" t="s">
        <v>13</v>
      </c>
      <c r="J17" s="11">
        <v>205700721588.42566</v>
      </c>
    </row>
    <row r="18" spans="1:193" x14ac:dyDescent="0.3">
      <c r="E18" s="2" t="s">
        <v>166</v>
      </c>
      <c r="F18" s="11">
        <v>29.788315579148616</v>
      </c>
      <c r="I18" s="2" t="s">
        <v>25</v>
      </c>
      <c r="J18" s="11">
        <v>13434432337898.281</v>
      </c>
    </row>
    <row r="19" spans="1:193" x14ac:dyDescent="0.3">
      <c r="E19" s="2" t="s">
        <v>167</v>
      </c>
      <c r="F19" s="11">
        <v>32.837310328389506</v>
      </c>
      <c r="I19" s="2" t="s">
        <v>67</v>
      </c>
      <c r="J19" s="11">
        <v>6.6250458075285188</v>
      </c>
    </row>
    <row r="20" spans="1:193" x14ac:dyDescent="0.3">
      <c r="A20" s="6" t="s">
        <v>193</v>
      </c>
      <c r="E20" s="2" t="s">
        <v>179</v>
      </c>
      <c r="F20" s="11">
        <v>550.89153396190852</v>
      </c>
      <c r="I20" s="2" t="s">
        <v>56</v>
      </c>
      <c r="J20" s="11">
        <v>18.884960027984189</v>
      </c>
      <c r="L20" s="9" t="s">
        <v>194</v>
      </c>
      <c r="M20" s="9"/>
      <c r="Q20" s="4" t="s">
        <v>55</v>
      </c>
      <c r="R20" t="s">
        <v>180</v>
      </c>
    </row>
    <row r="21" spans="1:193" x14ac:dyDescent="0.3">
      <c r="A21" s="7" t="s">
        <v>108</v>
      </c>
      <c r="B21" s="2" t="s">
        <v>180</v>
      </c>
      <c r="I21" s="2" t="s">
        <v>79</v>
      </c>
      <c r="J21" s="11">
        <v>1.9863855555511896</v>
      </c>
      <c r="L21" s="7" t="s">
        <v>183</v>
      </c>
      <c r="M21" s="7" t="s">
        <v>188</v>
      </c>
      <c r="N21" s="8"/>
      <c r="O21" s="8"/>
    </row>
    <row r="22" spans="1:193" ht="57.6" x14ac:dyDescent="0.3">
      <c r="I22" s="2" t="s">
        <v>34</v>
      </c>
      <c r="J22" s="11">
        <v>4.8979999999999997</v>
      </c>
      <c r="L22" s="7" t="s">
        <v>178</v>
      </c>
      <c r="M22" s="2" t="s">
        <v>67</v>
      </c>
      <c r="N22" s="8" t="s">
        <v>79</v>
      </c>
      <c r="O22" s="2" t="s">
        <v>179</v>
      </c>
      <c r="Q22" s="4" t="s">
        <v>183</v>
      </c>
      <c r="R22" s="4" t="s">
        <v>188</v>
      </c>
      <c r="S22" s="12"/>
      <c r="T22" s="12"/>
      <c r="U22" s="1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row>
    <row r="23" spans="1:193" x14ac:dyDescent="0.3">
      <c r="A23" s="7" t="s">
        <v>178</v>
      </c>
      <c r="B23" s="2" t="s">
        <v>183</v>
      </c>
      <c r="I23" s="2" t="s">
        <v>83</v>
      </c>
      <c r="J23" s="11">
        <v>6.662284804133364</v>
      </c>
      <c r="L23" s="2" t="s">
        <v>116</v>
      </c>
      <c r="M23" s="11">
        <v>2.4080295002550001</v>
      </c>
      <c r="N23" s="11">
        <v>2.6950930037278402</v>
      </c>
      <c r="O23" s="11">
        <v>2.5515612519914206</v>
      </c>
      <c r="Q23" s="4" t="s">
        <v>178</v>
      </c>
      <c r="R23" t="s">
        <v>25</v>
      </c>
      <c r="S23" t="s">
        <v>67</v>
      </c>
      <c r="T23" t="s">
        <v>79</v>
      </c>
      <c r="U23" t="s">
        <v>179</v>
      </c>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row>
    <row r="24" spans="1:193" x14ac:dyDescent="0.3">
      <c r="A24" s="2" t="s">
        <v>116</v>
      </c>
      <c r="B24" s="11">
        <v>159318008063.18106</v>
      </c>
      <c r="I24" s="2" t="s">
        <v>107</v>
      </c>
      <c r="J24" s="11">
        <v>1388019062.5</v>
      </c>
      <c r="L24" s="2" t="s">
        <v>44</v>
      </c>
      <c r="M24" s="11">
        <v>6.6250458075285188</v>
      </c>
      <c r="N24" s="11">
        <v>1.9863855555511893</v>
      </c>
      <c r="O24" s="11">
        <v>4.3057156815398541</v>
      </c>
      <c r="Q24" s="5" t="s">
        <v>152</v>
      </c>
      <c r="R24" s="10">
        <v>3705195200405.8369</v>
      </c>
      <c r="S24" s="10">
        <v>4.9676573002148574</v>
      </c>
      <c r="T24" s="10">
        <v>4.2287246341092191</v>
      </c>
      <c r="U24" s="10">
        <v>1235065066805.011</v>
      </c>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row>
    <row r="25" spans="1:193" x14ac:dyDescent="0.3">
      <c r="A25" s="2" t="s">
        <v>44</v>
      </c>
      <c r="B25" s="11">
        <v>1372731680866.8022</v>
      </c>
      <c r="I25" s="2" t="s">
        <v>146</v>
      </c>
      <c r="J25" s="11">
        <v>4.6153124999999999</v>
      </c>
      <c r="L25" s="2" t="s">
        <v>149</v>
      </c>
      <c r="M25" s="11">
        <v>1.2619555263781939</v>
      </c>
      <c r="N25" s="11">
        <v>2.1094579648367198</v>
      </c>
      <c r="O25" s="11">
        <v>1.6857067456074566</v>
      </c>
      <c r="Q25" s="5" t="s">
        <v>153</v>
      </c>
      <c r="R25" s="10">
        <v>4069757664883.8047</v>
      </c>
      <c r="S25" s="10">
        <v>3.7215373105236167</v>
      </c>
      <c r="T25" s="10">
        <v>4.7031823495193654</v>
      </c>
      <c r="U25" s="10">
        <v>1356585888297.4102</v>
      </c>
      <c r="V25"/>
      <c r="W25"/>
      <c r="X25"/>
      <c r="Y25"/>
      <c r="Z25"/>
      <c r="AA25"/>
      <c r="AB25"/>
      <c r="AC25"/>
      <c r="AD25"/>
      <c r="AE25"/>
      <c r="AF25"/>
      <c r="AG25"/>
      <c r="AH25"/>
    </row>
    <row r="26" spans="1:193" x14ac:dyDescent="0.3">
      <c r="A26" s="2" t="s">
        <v>149</v>
      </c>
      <c r="B26" s="11">
        <v>455761295449.84503</v>
      </c>
      <c r="I26" s="2" t="s">
        <v>149</v>
      </c>
      <c r="J26" s="11">
        <v>455761295449.84497</v>
      </c>
      <c r="L26" s="2" t="s">
        <v>52</v>
      </c>
      <c r="M26" s="11">
        <v>6.2351407230276816</v>
      </c>
      <c r="N26" s="11">
        <v>6.2106448363153932</v>
      </c>
      <c r="O26" s="11">
        <v>6.2228927796715379</v>
      </c>
      <c r="Q26" s="5" t="s">
        <v>154</v>
      </c>
      <c r="R26" s="10">
        <v>4244042375581.4541</v>
      </c>
      <c r="S26" s="10">
        <v>3.7727588141279882</v>
      </c>
      <c r="T26" s="10">
        <v>3.6093737784911086</v>
      </c>
      <c r="U26" s="10">
        <v>1414680791862.9453</v>
      </c>
      <c r="V26"/>
      <c r="W26"/>
      <c r="X26"/>
      <c r="Y26"/>
      <c r="Z26"/>
      <c r="AA26"/>
      <c r="AB26"/>
      <c r="AC26"/>
      <c r="AD26"/>
      <c r="AE26"/>
      <c r="AF26"/>
      <c r="AG26"/>
      <c r="AH26"/>
    </row>
    <row r="27" spans="1:193" x14ac:dyDescent="0.3">
      <c r="A27" s="2" t="s">
        <v>52</v>
      </c>
      <c r="B27" s="11">
        <v>272403273241.8251</v>
      </c>
      <c r="I27" s="2" t="s">
        <v>70</v>
      </c>
      <c r="J27" s="11">
        <v>41.910230492235549</v>
      </c>
      <c r="L27" s="2" t="s">
        <v>102</v>
      </c>
      <c r="M27" s="11">
        <v>4.7684027362402919</v>
      </c>
      <c r="N27" s="11">
        <v>3.9348413060340572</v>
      </c>
      <c r="O27" s="11">
        <v>4.3516220211371746</v>
      </c>
      <c r="Q27" s="5" t="s">
        <v>155</v>
      </c>
      <c r="R27" s="10">
        <v>4343495298846.04</v>
      </c>
      <c r="S27" s="10">
        <v>3.7667412063977777</v>
      </c>
      <c r="T27" s="10">
        <v>3.6894734520517103</v>
      </c>
      <c r="U27" s="10">
        <v>1447831766284.4988</v>
      </c>
      <c r="V27"/>
      <c r="W27"/>
      <c r="X27"/>
      <c r="Y27"/>
      <c r="Z27"/>
      <c r="AA27"/>
      <c r="AB27"/>
      <c r="AC27"/>
      <c r="AD27"/>
      <c r="AE27"/>
      <c r="AF27"/>
      <c r="AG27"/>
      <c r="AH27"/>
    </row>
    <row r="28" spans="1:193" x14ac:dyDescent="0.3">
      <c r="A28" s="2" t="s">
        <v>102</v>
      </c>
      <c r="B28" s="11">
        <v>109052738841.66728</v>
      </c>
      <c r="I28" s="2" t="s">
        <v>13</v>
      </c>
      <c r="J28" s="11">
        <v>89393738455.311066</v>
      </c>
      <c r="L28" s="2" t="s">
        <v>9</v>
      </c>
      <c r="M28" s="11">
        <v>0.96429145854166354</v>
      </c>
      <c r="N28" s="11">
        <v>1.0048842261162709</v>
      </c>
      <c r="O28" s="11">
        <v>0.98458784232896712</v>
      </c>
      <c r="Q28" s="5" t="s">
        <v>156</v>
      </c>
      <c r="R28" s="10">
        <v>4533274217519.7813</v>
      </c>
      <c r="S28" s="10">
        <v>4.1372338127781942</v>
      </c>
      <c r="T28" s="10">
        <v>3.454189488290369</v>
      </c>
      <c r="U28" s="10">
        <v>1511091405842.4578</v>
      </c>
      <c r="V28"/>
      <c r="W28"/>
      <c r="X28"/>
      <c r="Y28"/>
      <c r="Z28"/>
      <c r="AA28"/>
      <c r="AB28"/>
      <c r="AC28"/>
      <c r="AD28"/>
      <c r="AE28"/>
      <c r="AF28"/>
      <c r="AG28"/>
      <c r="AH28"/>
    </row>
    <row r="29" spans="1:193" x14ac:dyDescent="0.3">
      <c r="A29" s="2" t="s">
        <v>9</v>
      </c>
      <c r="B29" s="11">
        <v>546928971846.35529</v>
      </c>
      <c r="I29" s="2" t="s">
        <v>25</v>
      </c>
      <c r="J29" s="11">
        <v>4012375631334.7476</v>
      </c>
      <c r="L29" s="2" t="s">
        <v>98</v>
      </c>
      <c r="M29" s="11">
        <v>4.6379377213356126</v>
      </c>
      <c r="N29" s="11">
        <v>1.9839580699898904</v>
      </c>
      <c r="O29" s="11">
        <v>3.3109478956627512</v>
      </c>
      <c r="Q29" s="5" t="s">
        <v>157</v>
      </c>
      <c r="R29" s="10">
        <v>4540351912713.5176</v>
      </c>
      <c r="S29" s="10">
        <v>3.9876960399068038</v>
      </c>
      <c r="T29" s="10">
        <v>2.0645583614489107</v>
      </c>
      <c r="U29" s="10">
        <v>1513450637573.1899</v>
      </c>
      <c r="V29"/>
      <c r="W29"/>
      <c r="X29"/>
      <c r="Y29"/>
      <c r="Z29"/>
      <c r="AA29"/>
      <c r="AB29"/>
      <c r="AC29"/>
      <c r="AD29"/>
      <c r="AE29"/>
      <c r="AF29"/>
      <c r="AG29"/>
      <c r="AH29"/>
    </row>
    <row r="30" spans="1:193" x14ac:dyDescent="0.3">
      <c r="A30" s="2" t="s">
        <v>98</v>
      </c>
      <c r="B30" s="11">
        <v>36215205490.284264</v>
      </c>
      <c r="I30" s="2" t="s">
        <v>67</v>
      </c>
      <c r="J30" s="11">
        <v>1.2619555263781939</v>
      </c>
      <c r="L30" s="2" t="s">
        <v>39</v>
      </c>
      <c r="M30" s="11">
        <v>3.4968510104065622</v>
      </c>
      <c r="N30" s="11">
        <v>10.094460507739917</v>
      </c>
      <c r="O30" s="11">
        <v>6.7956557590732407</v>
      </c>
      <c r="Q30" s="5" t="s">
        <v>158</v>
      </c>
      <c r="R30" s="10">
        <v>4666803838205.3379</v>
      </c>
      <c r="S30" s="10">
        <v>4.0795504052515028</v>
      </c>
      <c r="T30" s="10">
        <v>2.0241190844496453</v>
      </c>
      <c r="U30" s="10">
        <v>1555601279403.8135</v>
      </c>
      <c r="V30"/>
      <c r="W30"/>
      <c r="X30"/>
      <c r="Y30"/>
      <c r="Z30"/>
      <c r="AA30"/>
      <c r="AB30"/>
      <c r="AC30"/>
      <c r="AD30"/>
      <c r="AE30"/>
      <c r="AF30"/>
      <c r="AG30"/>
      <c r="AH30"/>
    </row>
    <row r="31" spans="1:193" x14ac:dyDescent="0.3">
      <c r="A31" s="2" t="s">
        <v>39</v>
      </c>
      <c r="B31" s="11">
        <v>32120906701.315769</v>
      </c>
      <c r="I31" s="2" t="s">
        <v>56</v>
      </c>
      <c r="J31" s="11">
        <v>36.633835762608882</v>
      </c>
      <c r="L31" s="2" t="s">
        <v>21</v>
      </c>
      <c r="M31" s="11">
        <v>1.6301220103457137</v>
      </c>
      <c r="N31" s="11">
        <v>2.8755292968710902</v>
      </c>
      <c r="O31" s="11">
        <v>2.2528256536084026</v>
      </c>
      <c r="Q31" s="5" t="s">
        <v>159</v>
      </c>
      <c r="R31" s="10">
        <v>4930866089847.334</v>
      </c>
      <c r="S31" s="10">
        <v>4.1197268948010803</v>
      </c>
      <c r="T31" s="10">
        <v>2.531688630743163</v>
      </c>
      <c r="U31" s="10">
        <v>1643622029951.3289</v>
      </c>
      <c r="V31"/>
      <c r="W31"/>
      <c r="X31"/>
      <c r="Y31"/>
      <c r="Z31"/>
      <c r="AA31"/>
      <c r="AB31"/>
      <c r="AC31"/>
      <c r="AD31"/>
      <c r="AE31"/>
      <c r="AF31"/>
      <c r="AG31"/>
      <c r="AH31"/>
    </row>
    <row r="32" spans="1:193" x14ac:dyDescent="0.3">
      <c r="A32" s="2" t="s">
        <v>21</v>
      </c>
      <c r="B32" s="11">
        <v>330820838891.70953</v>
      </c>
      <c r="I32" s="2" t="s">
        <v>79</v>
      </c>
      <c r="J32" s="11">
        <v>2.1094579648367198</v>
      </c>
      <c r="L32" s="2" t="s">
        <v>94</v>
      </c>
      <c r="M32" s="11">
        <v>2.4029443785600435</v>
      </c>
      <c r="N32" s="11">
        <v>2.5812332196983712</v>
      </c>
      <c r="O32" s="11">
        <v>2.4892131726592348</v>
      </c>
      <c r="Q32" s="5" t="s">
        <v>160</v>
      </c>
      <c r="R32" s="10">
        <v>5280429988562.7813</v>
      </c>
      <c r="S32" s="10">
        <v>3.8742584918937553</v>
      </c>
      <c r="T32" s="10">
        <v>2.4542817469347145</v>
      </c>
      <c r="U32" s="10">
        <v>1760143329523.0366</v>
      </c>
      <c r="V32"/>
      <c r="W32"/>
      <c r="X32"/>
      <c r="Y32"/>
      <c r="Z32"/>
      <c r="AA32"/>
      <c r="AB32"/>
      <c r="AC32"/>
      <c r="AD32"/>
      <c r="AE32"/>
      <c r="AF32"/>
      <c r="AG32"/>
      <c r="AH32"/>
    </row>
    <row r="33" spans="1:34" x14ac:dyDescent="0.3">
      <c r="A33" s="2" t="s">
        <v>94</v>
      </c>
      <c r="B33" s="11">
        <v>2252592550930.8564</v>
      </c>
      <c r="I33" s="2" t="s">
        <v>34</v>
      </c>
      <c r="J33" s="11"/>
      <c r="L33" s="2" t="s">
        <v>179</v>
      </c>
      <c r="M33" s="11">
        <v>3.443072087261926</v>
      </c>
      <c r="N33" s="11">
        <v>3.5537268840905241</v>
      </c>
      <c r="O33" s="11">
        <v>3.4982260455558056</v>
      </c>
      <c r="Q33" s="5" t="s">
        <v>161</v>
      </c>
      <c r="R33" s="10">
        <v>5422065190047.3916</v>
      </c>
      <c r="S33" s="10">
        <v>2.8572306175487467</v>
      </c>
      <c r="T33" s="10">
        <v>2.7975768474875733</v>
      </c>
      <c r="U33" s="10">
        <v>1807355063351.0156</v>
      </c>
      <c r="V33"/>
      <c r="W33"/>
      <c r="X33"/>
      <c r="Y33"/>
      <c r="Z33"/>
      <c r="AA33"/>
      <c r="AB33"/>
      <c r="AC33"/>
      <c r="AD33"/>
      <c r="AE33"/>
      <c r="AF33"/>
      <c r="AG33"/>
      <c r="AH33"/>
    </row>
    <row r="34" spans="1:34" x14ac:dyDescent="0.3">
      <c r="A34" s="2" t="s">
        <v>179</v>
      </c>
      <c r="B34" s="11">
        <v>555088954795.95178</v>
      </c>
      <c r="I34" s="2" t="s">
        <v>83</v>
      </c>
      <c r="J34" s="11">
        <v>0.84943931080724955</v>
      </c>
      <c r="Q34" s="5" t="s">
        <v>162</v>
      </c>
      <c r="R34" s="10">
        <v>5393141780245.2041</v>
      </c>
      <c r="S34" s="10">
        <v>-3.2912665090456472</v>
      </c>
      <c r="T34" s="10">
        <v>2.2753961909314109</v>
      </c>
      <c r="U34" s="10">
        <v>1797713926748.0632</v>
      </c>
      <c r="V34"/>
      <c r="W34"/>
      <c r="X34"/>
      <c r="Y34"/>
      <c r="Z34"/>
      <c r="AA34"/>
      <c r="AB34"/>
      <c r="AC34"/>
      <c r="AD34"/>
      <c r="AE34"/>
      <c r="AF34"/>
      <c r="AG34"/>
      <c r="AH34"/>
    </row>
    <row r="35" spans="1:34" x14ac:dyDescent="0.3">
      <c r="I35" s="2" t="s">
        <v>107</v>
      </c>
      <c r="J35" s="11">
        <v>82289171.5</v>
      </c>
      <c r="Q35" s="5" t="s">
        <v>163</v>
      </c>
      <c r="R35" s="10">
        <v>6133978739067.8789</v>
      </c>
      <c r="S35" s="10">
        <v>5.5968375596668354</v>
      </c>
      <c r="T35" s="10">
        <v>3.255947631878958</v>
      </c>
      <c r="U35" s="10">
        <v>2044659579692.2439</v>
      </c>
      <c r="V35"/>
      <c r="W35"/>
      <c r="X35"/>
      <c r="Y35"/>
      <c r="Z35"/>
      <c r="AA35"/>
      <c r="AB35"/>
    </row>
    <row r="36" spans="1:34" x14ac:dyDescent="0.3">
      <c r="I36" s="2" t="s">
        <v>146</v>
      </c>
      <c r="J36" s="11">
        <v>4.2821874999999991</v>
      </c>
      <c r="Q36" s="5" t="s">
        <v>164</v>
      </c>
      <c r="R36" s="10">
        <v>6324900931847.4629</v>
      </c>
      <c r="S36" s="10">
        <v>4.4928129646955153</v>
      </c>
      <c r="T36" s="10">
        <v>6.8023855331913907</v>
      </c>
      <c r="U36" s="10">
        <v>2108300310619.5859</v>
      </c>
      <c r="V36"/>
      <c r="W36"/>
      <c r="X36"/>
      <c r="Y36"/>
      <c r="Z36"/>
      <c r="AA36"/>
      <c r="AB36"/>
    </row>
    <row r="37" spans="1:34" x14ac:dyDescent="0.3">
      <c r="I37" s="2" t="s">
        <v>52</v>
      </c>
      <c r="J37" s="11">
        <v>272403273241.8252</v>
      </c>
      <c r="Q37" s="5" t="s">
        <v>165</v>
      </c>
      <c r="R37" s="10">
        <v>6579289209918.666</v>
      </c>
      <c r="S37" s="10">
        <v>2.7438158966760113</v>
      </c>
      <c r="T37" s="10">
        <v>6.853225394476941</v>
      </c>
      <c r="U37" s="10">
        <v>2193096403309.4214</v>
      </c>
      <c r="V37"/>
      <c r="W37"/>
      <c r="X37"/>
      <c r="Y37"/>
      <c r="Z37"/>
      <c r="AA37"/>
      <c r="AB37"/>
    </row>
    <row r="38" spans="1:34" x14ac:dyDescent="0.3">
      <c r="I38" s="2" t="s">
        <v>70</v>
      </c>
      <c r="J38" s="11">
        <v>21.689594594175414</v>
      </c>
      <c r="Q38" s="5" t="s">
        <v>166</v>
      </c>
      <c r="R38" s="10">
        <v>6830693351934.0781</v>
      </c>
      <c r="S38" s="10">
        <v>2.9788315579148614</v>
      </c>
      <c r="T38" s="10">
        <v>3.6202009007111107</v>
      </c>
      <c r="U38" s="10">
        <v>2276897783980.2261</v>
      </c>
      <c r="V38"/>
      <c r="W38"/>
      <c r="X38"/>
      <c r="Y38"/>
      <c r="Z38"/>
      <c r="AA38"/>
      <c r="AB38"/>
    </row>
    <row r="39" spans="1:34" x14ac:dyDescent="0.3">
      <c r="I39" s="2" t="s">
        <v>13</v>
      </c>
      <c r="J39" s="11">
        <v>39071020855.719543</v>
      </c>
      <c r="Q39" s="5" t="s">
        <v>167</v>
      </c>
      <c r="R39" s="10">
        <v>7183614183165.8076</v>
      </c>
      <c r="S39" s="10">
        <v>3.2837310328389506</v>
      </c>
      <c r="T39" s="10">
        <v>2.3777038136930604</v>
      </c>
      <c r="U39" s="10">
        <v>2477108339024.562</v>
      </c>
      <c r="V39"/>
      <c r="W39"/>
      <c r="X39"/>
      <c r="Y39"/>
      <c r="Z39"/>
      <c r="AA39"/>
      <c r="AB39"/>
    </row>
    <row r="40" spans="1:34" x14ac:dyDescent="0.3">
      <c r="I40" s="2" t="s">
        <v>25</v>
      </c>
      <c r="J40" s="11">
        <v>2632524727750.9355</v>
      </c>
      <c r="Q40" s="5" t="s">
        <v>179</v>
      </c>
      <c r="R40" s="10">
        <v>5261368748299.5225</v>
      </c>
      <c r="S40" s="10">
        <v>3.4430720872619274</v>
      </c>
      <c r="T40" s="10">
        <v>3.5537268840905267</v>
      </c>
      <c r="U40" s="10">
        <v>1757450938891.5234</v>
      </c>
      <c r="V40"/>
      <c r="W40"/>
      <c r="X40"/>
      <c r="Y40"/>
      <c r="Z40"/>
      <c r="AA40"/>
      <c r="AB40"/>
    </row>
    <row r="41" spans="1:34" x14ac:dyDescent="0.3">
      <c r="I41" s="2" t="s">
        <v>67</v>
      </c>
      <c r="J41" s="11">
        <v>6.2351407230276816</v>
      </c>
    </row>
    <row r="42" spans="1:34" x14ac:dyDescent="0.3">
      <c r="I42" s="2" t="s">
        <v>56</v>
      </c>
      <c r="J42" s="11">
        <v>24.691428607784776</v>
      </c>
    </row>
    <row r="43" spans="1:34" x14ac:dyDescent="0.3">
      <c r="I43" s="2" t="s">
        <v>79</v>
      </c>
      <c r="J43" s="11">
        <v>6.2106448363153932</v>
      </c>
    </row>
    <row r="44" spans="1:34" x14ac:dyDescent="0.3">
      <c r="I44" s="2" t="s">
        <v>34</v>
      </c>
      <c r="J44" s="11">
        <v>9.5516084249084301</v>
      </c>
    </row>
    <row r="45" spans="1:34" x14ac:dyDescent="0.3">
      <c r="I45" s="2" t="s">
        <v>83</v>
      </c>
      <c r="J45" s="11">
        <v>67.549286387730305</v>
      </c>
    </row>
    <row r="46" spans="1:34" x14ac:dyDescent="0.3">
      <c r="I46" s="2" t="s">
        <v>107</v>
      </c>
      <c r="J46" s="11">
        <v>1361369937.9375</v>
      </c>
    </row>
    <row r="47" spans="1:34" x14ac:dyDescent="0.3">
      <c r="I47" s="2" t="s">
        <v>146</v>
      </c>
      <c r="J47" s="11">
        <v>6.6794999999999991</v>
      </c>
    </row>
    <row r="48" spans="1:34" x14ac:dyDescent="0.3">
      <c r="I48" s="2" t="s">
        <v>102</v>
      </c>
      <c r="J48" s="11">
        <v>109052738841.66728</v>
      </c>
    </row>
    <row r="49" spans="9:10" x14ac:dyDescent="0.3">
      <c r="I49" s="2" t="s">
        <v>70</v>
      </c>
      <c r="J49" s="11">
        <v>22.065404470747399</v>
      </c>
    </row>
    <row r="50" spans="9:10" x14ac:dyDescent="0.3">
      <c r="I50" s="2" t="s">
        <v>13</v>
      </c>
      <c r="J50" s="11">
        <v>20461684671.407188</v>
      </c>
    </row>
    <row r="51" spans="9:10" x14ac:dyDescent="0.3">
      <c r="I51" s="2" t="s">
        <v>25</v>
      </c>
      <c r="J51" s="11">
        <v>1069798176783.2831</v>
      </c>
    </row>
    <row r="52" spans="9:10" x14ac:dyDescent="0.3">
      <c r="I52" s="2" t="s">
        <v>67</v>
      </c>
      <c r="J52" s="11">
        <v>4.7684027362402919</v>
      </c>
    </row>
    <row r="53" spans="9:10" x14ac:dyDescent="0.3">
      <c r="I53" s="2" t="s">
        <v>56</v>
      </c>
      <c r="J53" s="11">
        <v>20.990940814447129</v>
      </c>
    </row>
    <row r="54" spans="9:10" x14ac:dyDescent="0.3">
      <c r="I54" s="2" t="s">
        <v>79</v>
      </c>
      <c r="J54" s="11">
        <v>3.9348413060340577</v>
      </c>
    </row>
    <row r="55" spans="9:10" x14ac:dyDescent="0.3">
      <c r="I55" s="2" t="s">
        <v>34</v>
      </c>
      <c r="J55" s="11">
        <v>10.715610692553863</v>
      </c>
    </row>
    <row r="56" spans="9:10" x14ac:dyDescent="0.3">
      <c r="I56" s="2" t="s">
        <v>83</v>
      </c>
      <c r="J56" s="11">
        <v>13084.220644676952</v>
      </c>
    </row>
    <row r="57" spans="9:10" x14ac:dyDescent="0.3">
      <c r="I57" s="2" t="s">
        <v>107</v>
      </c>
      <c r="J57" s="11">
        <v>267513811.1875</v>
      </c>
    </row>
    <row r="58" spans="9:10" x14ac:dyDescent="0.3">
      <c r="I58" s="2" t="s">
        <v>146</v>
      </c>
      <c r="J58" s="11">
        <v>4.0990624999999996</v>
      </c>
    </row>
    <row r="59" spans="9:10" x14ac:dyDescent="0.3">
      <c r="I59" s="2" t="s">
        <v>9</v>
      </c>
      <c r="J59" s="11">
        <v>546928971846.3551</v>
      </c>
    </row>
    <row r="60" spans="9:10" x14ac:dyDescent="0.3">
      <c r="I60" s="2" t="s">
        <v>70</v>
      </c>
      <c r="J60" s="11">
        <v>17.179319086314706</v>
      </c>
    </row>
    <row r="61" spans="9:10" x14ac:dyDescent="0.3">
      <c r="I61" s="2" t="s">
        <v>13</v>
      </c>
      <c r="J61" s="11">
        <v>24890624953.323837</v>
      </c>
    </row>
    <row r="62" spans="9:10" x14ac:dyDescent="0.3">
      <c r="I62" s="2" t="s">
        <v>25</v>
      </c>
      <c r="J62" s="11">
        <v>5102442122683.791</v>
      </c>
    </row>
    <row r="63" spans="9:10" x14ac:dyDescent="0.3">
      <c r="I63" s="2" t="s">
        <v>67</v>
      </c>
      <c r="J63" s="11">
        <v>0.96429145854166354</v>
      </c>
    </row>
    <row r="64" spans="9:10" x14ac:dyDescent="0.3">
      <c r="I64" s="2" t="s">
        <v>56</v>
      </c>
      <c r="J64" s="11">
        <v>17.969299510484557</v>
      </c>
    </row>
    <row r="65" spans="9:10" x14ac:dyDescent="0.3">
      <c r="I65" s="2" t="s">
        <v>79</v>
      </c>
      <c r="J65" s="11">
        <v>1.0048842261162709</v>
      </c>
    </row>
    <row r="66" spans="9:10" x14ac:dyDescent="0.3">
      <c r="I66" s="2" t="s">
        <v>34</v>
      </c>
      <c r="J66" s="11">
        <v>1.27640625</v>
      </c>
    </row>
    <row r="67" spans="9:10" x14ac:dyDescent="0.3">
      <c r="I67" s="2" t="s">
        <v>83</v>
      </c>
      <c r="J67" s="11">
        <v>112.61850415107253</v>
      </c>
    </row>
    <row r="68" spans="9:10" x14ac:dyDescent="0.3">
      <c r="I68" s="2" t="s">
        <v>107</v>
      </c>
      <c r="J68" s="11">
        <v>126363271.0625</v>
      </c>
    </row>
    <row r="69" spans="9:10" x14ac:dyDescent="0.3">
      <c r="I69" s="2" t="s">
        <v>146</v>
      </c>
      <c r="J69" s="11">
        <v>3.2234999999999996</v>
      </c>
    </row>
    <row r="70" spans="9:10" x14ac:dyDescent="0.3">
      <c r="I70" s="2" t="s">
        <v>98</v>
      </c>
      <c r="J70" s="11">
        <v>36215205490.284279</v>
      </c>
    </row>
    <row r="71" spans="9:10" x14ac:dyDescent="0.3">
      <c r="I71" s="2" t="s">
        <v>70</v>
      </c>
      <c r="J71" s="11">
        <v>72.561464041646659</v>
      </c>
    </row>
    <row r="72" spans="9:10" x14ac:dyDescent="0.3">
      <c r="I72" s="2" t="s">
        <v>13</v>
      </c>
      <c r="J72" s="11">
        <v>11321041169.214815</v>
      </c>
    </row>
    <row r="73" spans="9:10" x14ac:dyDescent="0.3">
      <c r="I73" s="2" t="s">
        <v>25</v>
      </c>
      <c r="J73" s="11">
        <v>349242652683.16003</v>
      </c>
    </row>
    <row r="74" spans="9:10" x14ac:dyDescent="0.3">
      <c r="I74" s="2" t="s">
        <v>67</v>
      </c>
      <c r="J74" s="11">
        <v>4.6379377213356126</v>
      </c>
    </row>
    <row r="75" spans="9:10" x14ac:dyDescent="0.3">
      <c r="I75" s="2" t="s">
        <v>56</v>
      </c>
      <c r="J75" s="11">
        <v>64.32691753854661</v>
      </c>
    </row>
    <row r="76" spans="9:10" x14ac:dyDescent="0.3">
      <c r="I76" s="2" t="s">
        <v>79</v>
      </c>
      <c r="J76" s="11">
        <v>1.9839580699898902</v>
      </c>
    </row>
    <row r="77" spans="9:10" x14ac:dyDescent="0.3">
      <c r="I77" s="2" t="s">
        <v>34</v>
      </c>
      <c r="J77" s="11">
        <v>4.6355398156333392</v>
      </c>
    </row>
    <row r="78" spans="9:10" x14ac:dyDescent="0.3">
      <c r="I78" s="2" t="s">
        <v>83</v>
      </c>
      <c r="J78" s="11">
        <v>3.905927009396811</v>
      </c>
    </row>
    <row r="79" spans="9:10" x14ac:dyDescent="0.3">
      <c r="I79" s="2" t="s">
        <v>107</v>
      </c>
      <c r="J79" s="11">
        <v>32475624.8125</v>
      </c>
    </row>
    <row r="80" spans="9:10" x14ac:dyDescent="0.3">
      <c r="I80" s="2" t="s">
        <v>146</v>
      </c>
      <c r="J80" s="11">
        <v>3.5367500000000001</v>
      </c>
    </row>
    <row r="81" spans="9:10" x14ac:dyDescent="0.3">
      <c r="I81" s="2" t="s">
        <v>39</v>
      </c>
      <c r="J81" s="11">
        <v>32120906701.315754</v>
      </c>
    </row>
    <row r="82" spans="9:10" x14ac:dyDescent="0.3">
      <c r="I82" s="2" t="s">
        <v>70</v>
      </c>
      <c r="J82" s="11">
        <v>10.376699658966377</v>
      </c>
    </row>
    <row r="83" spans="9:10" x14ac:dyDescent="0.3">
      <c r="I83" s="2" t="s">
        <v>13</v>
      </c>
      <c r="J83" s="11">
        <v>1898375000</v>
      </c>
    </row>
    <row r="84" spans="9:10" x14ac:dyDescent="0.3">
      <c r="I84" s="2" t="s">
        <v>25</v>
      </c>
      <c r="J84" s="11">
        <v>311053802769.53223</v>
      </c>
    </row>
    <row r="85" spans="9:10" x14ac:dyDescent="0.3">
      <c r="I85" s="2" t="s">
        <v>67</v>
      </c>
      <c r="J85" s="11">
        <v>3.4968510104065622</v>
      </c>
    </row>
    <row r="86" spans="9:10" x14ac:dyDescent="0.3">
      <c r="I86" s="2" t="s">
        <v>56</v>
      </c>
      <c r="J86" s="11">
        <v>18.337597979891612</v>
      </c>
    </row>
    <row r="87" spans="9:10" x14ac:dyDescent="0.3">
      <c r="I87" s="2" t="s">
        <v>79</v>
      </c>
      <c r="J87" s="11">
        <v>10.094460507739917</v>
      </c>
    </row>
    <row r="88" spans="9:10" x14ac:dyDescent="0.3">
      <c r="I88" s="2" t="s">
        <v>34</v>
      </c>
      <c r="J88" s="11">
        <v>11.083759314917623</v>
      </c>
    </row>
    <row r="89" spans="9:10" x14ac:dyDescent="0.3">
      <c r="I89" s="2" t="s">
        <v>83</v>
      </c>
      <c r="J89" s="11">
        <v>151.38793799067187</v>
      </c>
    </row>
    <row r="90" spans="9:10" x14ac:dyDescent="0.3">
      <c r="I90" s="2" t="s">
        <v>107</v>
      </c>
      <c r="J90" s="11">
        <v>226662362.4375</v>
      </c>
    </row>
    <row r="91" spans="9:10" x14ac:dyDescent="0.3">
      <c r="I91" s="2" t="s">
        <v>146</v>
      </c>
      <c r="J91" s="11">
        <v>3.8523125</v>
      </c>
    </row>
    <row r="92" spans="9:10" x14ac:dyDescent="0.3">
      <c r="I92" s="2" t="s">
        <v>21</v>
      </c>
      <c r="J92" s="11">
        <v>330820838891.70929</v>
      </c>
    </row>
    <row r="93" spans="9:10" x14ac:dyDescent="0.3">
      <c r="I93" s="2" t="s">
        <v>70</v>
      </c>
      <c r="J93" s="11">
        <v>30.48672915238858</v>
      </c>
    </row>
    <row r="94" spans="9:10" x14ac:dyDescent="0.3">
      <c r="I94" s="2" t="s">
        <v>13</v>
      </c>
      <c r="J94" s="11">
        <v>73372399977.356888</v>
      </c>
    </row>
    <row r="95" spans="9:10" x14ac:dyDescent="0.3">
      <c r="I95" s="2" t="s">
        <v>25</v>
      </c>
      <c r="J95" s="11">
        <v>3007330617555.3828</v>
      </c>
    </row>
    <row r="96" spans="9:10" x14ac:dyDescent="0.3">
      <c r="I96" s="2" t="s">
        <v>67</v>
      </c>
      <c r="J96" s="11">
        <v>1.6301220103457137</v>
      </c>
    </row>
    <row r="97" spans="9:10" x14ac:dyDescent="0.3">
      <c r="I97" s="2" t="s">
        <v>56</v>
      </c>
      <c r="J97" s="11">
        <v>31.521925948809713</v>
      </c>
    </row>
    <row r="98" spans="9:10" x14ac:dyDescent="0.3">
      <c r="I98" s="2" t="s">
        <v>79</v>
      </c>
      <c r="J98" s="11">
        <v>2.8755292968710906</v>
      </c>
    </row>
    <row r="99" spans="9:10" x14ac:dyDescent="0.3">
      <c r="I99" s="2" t="s">
        <v>34</v>
      </c>
      <c r="J99" s="11">
        <v>0.5</v>
      </c>
    </row>
    <row r="100" spans="9:10" x14ac:dyDescent="0.3">
      <c r="I100" s="2" t="s">
        <v>83</v>
      </c>
      <c r="J100" s="11">
        <v>0.72010527076041231</v>
      </c>
    </row>
    <row r="101" spans="9:10" x14ac:dyDescent="0.3">
      <c r="I101" s="2" t="s">
        <v>107</v>
      </c>
      <c r="J101" s="11">
        <v>66044573.4375</v>
      </c>
    </row>
    <row r="102" spans="9:10" x14ac:dyDescent="0.3">
      <c r="I102" s="2" t="s">
        <v>146</v>
      </c>
      <c r="J102" s="11">
        <v>5.4748124999999996</v>
      </c>
    </row>
    <row r="103" spans="9:10" x14ac:dyDescent="0.3">
      <c r="I103" s="2" t="s">
        <v>94</v>
      </c>
      <c r="J103" s="11">
        <v>2252592550930.8564</v>
      </c>
    </row>
    <row r="104" spans="9:10" x14ac:dyDescent="0.3">
      <c r="I104" s="2" t="s">
        <v>70</v>
      </c>
      <c r="J104" s="11">
        <v>12.119526040341153</v>
      </c>
    </row>
    <row r="105" spans="9:10" x14ac:dyDescent="0.3">
      <c r="I105" s="2" t="s">
        <v>13</v>
      </c>
      <c r="J105" s="11">
        <v>331665312500</v>
      </c>
    </row>
    <row r="106" spans="9:10" x14ac:dyDescent="0.3">
      <c r="I106" s="2" t="s">
        <v>25</v>
      </c>
      <c r="J106" s="11">
        <v>21208424750000</v>
      </c>
    </row>
    <row r="107" spans="9:10" x14ac:dyDescent="0.3">
      <c r="I107" s="2" t="s">
        <v>67</v>
      </c>
      <c r="J107" s="11">
        <v>2.4029443785600435</v>
      </c>
    </row>
    <row r="108" spans="9:10" x14ac:dyDescent="0.3">
      <c r="I108" s="2" t="s">
        <v>56</v>
      </c>
      <c r="J108" s="11">
        <v>15.199670613961624</v>
      </c>
    </row>
    <row r="109" spans="9:10" x14ac:dyDescent="0.3">
      <c r="I109" s="2" t="s">
        <v>79</v>
      </c>
      <c r="J109" s="11">
        <v>2.5812332196983716</v>
      </c>
    </row>
    <row r="110" spans="9:10" x14ac:dyDescent="0.3">
      <c r="I110" s="2" t="s">
        <v>34</v>
      </c>
      <c r="J110" s="11">
        <v>3.6749305555555551</v>
      </c>
    </row>
    <row r="111" spans="9:10" x14ac:dyDescent="0.3">
      <c r="I111" s="2" t="s">
        <v>83</v>
      </c>
      <c r="J111" s="11">
        <v>1</v>
      </c>
    </row>
    <row r="112" spans="9:10" x14ac:dyDescent="0.3">
      <c r="I112" s="2" t="s">
        <v>107</v>
      </c>
      <c r="J112" s="11">
        <v>326205736.4375</v>
      </c>
    </row>
    <row r="113" spans="9:10" x14ac:dyDescent="0.3">
      <c r="I113" s="2" t="s">
        <v>146</v>
      </c>
      <c r="J113" s="11">
        <v>5.6984375000000025</v>
      </c>
    </row>
    <row r="114" spans="9:10" x14ac:dyDescent="0.3">
      <c r="I114" s="2" t="s">
        <v>179</v>
      </c>
      <c r="J114" s="11">
        <v>555088954795.9519</v>
      </c>
    </row>
  </sheetData>
  <mergeCells count="1">
    <mergeCell ref="L20:M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8D02-0921-4F0C-A9E2-C02BCE157505}">
  <dimension ref="A1:E17"/>
  <sheetViews>
    <sheetView workbookViewId="0">
      <selection activeCell="D15" sqref="D15"/>
    </sheetView>
  </sheetViews>
  <sheetFormatPr defaultRowHeight="14.4" x14ac:dyDescent="0.3"/>
  <cols>
    <col min="1" max="1" width="20.6640625" style="2" customWidth="1"/>
    <col min="2" max="2" width="29.5546875" style="2" customWidth="1"/>
    <col min="3" max="3" width="26.44140625" style="2" customWidth="1"/>
    <col min="4" max="4" width="36.109375" style="2" customWidth="1"/>
    <col min="5" max="5" width="40.44140625" style="2" customWidth="1"/>
    <col min="6" max="6" width="18.5546875" style="2" customWidth="1"/>
    <col min="7" max="16384" width="8.88671875" style="2"/>
  </cols>
  <sheetData>
    <row r="1" spans="1:5" x14ac:dyDescent="0.3">
      <c r="A1" s="2" t="s">
        <v>185</v>
      </c>
      <c r="B1" s="2" t="s">
        <v>186</v>
      </c>
      <c r="C1" s="2" t="s">
        <v>187</v>
      </c>
    </row>
    <row r="2" spans="1:5" x14ac:dyDescent="0.3">
      <c r="A2" s="2" t="s">
        <v>172</v>
      </c>
    </row>
    <row r="3" spans="1:5" x14ac:dyDescent="0.3">
      <c r="A3" s="2" t="s">
        <v>168</v>
      </c>
      <c r="B3" s="2" t="s">
        <v>169</v>
      </c>
      <c r="C3" s="2" t="s">
        <v>170</v>
      </c>
      <c r="D3" s="2" t="s">
        <v>171</v>
      </c>
      <c r="E3" s="2" t="s">
        <v>174</v>
      </c>
    </row>
    <row r="4" spans="1:5" x14ac:dyDescent="0.3">
      <c r="A4" s="2" t="s">
        <v>39</v>
      </c>
      <c r="B4" s="2">
        <v>2025</v>
      </c>
      <c r="C4" s="3" t="s">
        <v>67</v>
      </c>
      <c r="D4" s="2">
        <f>SUMIFS(Table1!F:F,Table1!A:A,Analysis!A4,Table1!E:E,Analysis!B4,Table1!C:C,Analysis!C4)</f>
        <v>3.6984266874903255</v>
      </c>
      <c r="E4" s="2" t="str">
        <f>A4&amp;"|"&amp;C4&amp;"|"&amp;B4</f>
        <v>Pakistan|GDP growth (annual %)|2025</v>
      </c>
    </row>
    <row r="6" spans="1:5" x14ac:dyDescent="0.3">
      <c r="A6" s="2" t="s">
        <v>175</v>
      </c>
      <c r="B6" s="2" t="s">
        <v>185</v>
      </c>
      <c r="C6" s="2" t="s">
        <v>186</v>
      </c>
    </row>
    <row r="7" spans="1:5" x14ac:dyDescent="0.3">
      <c r="A7" s="2" t="s">
        <v>177</v>
      </c>
      <c r="B7" t="s">
        <v>176</v>
      </c>
      <c r="C7" t="s">
        <v>184</v>
      </c>
    </row>
    <row r="8" spans="1:5" x14ac:dyDescent="0.3">
      <c r="A8" s="2" t="s">
        <v>39</v>
      </c>
      <c r="B8" s="2">
        <f>IFERROR(AVERAGEIFS(Table1!F:F,Table1!A:A,Analysis!A8,Table1!C:C,"GDP growth (annual %)"),"N/A")</f>
        <v>3.4968510104065622</v>
      </c>
      <c r="C8" s="2">
        <f>COUNTIFS(Table1!A:A,Analysis!A8,Table1!C:C,"GDP growth (annual %)",Table1!F:F,"&gt;5")</f>
        <v>3</v>
      </c>
    </row>
    <row r="9" spans="1:5" x14ac:dyDescent="0.3">
      <c r="A9" s="2" t="s">
        <v>52</v>
      </c>
      <c r="B9" s="2">
        <f>IFERROR(AVERAGEIFS(Table1!F:F,Table1!A:A,Analysis!A9,Table1!C:C,"GDP growth (annual %)"),"N/A")</f>
        <v>6.2351407230276816</v>
      </c>
      <c r="C9" s="2">
        <f>COUNTIFS(Table1!A:A,Analysis!A9,Table1!C:C,"GDP growth (annual %)",Table1!F:F,"&gt;5")</f>
        <v>14</v>
      </c>
    </row>
    <row r="10" spans="1:5" x14ac:dyDescent="0.3">
      <c r="A10" s="2" t="s">
        <v>44</v>
      </c>
      <c r="B10" s="2">
        <f>IFERROR(AVERAGEIFS(Table1!F:F,Table1!A:A,Analysis!A10,Table1!C:C,"GDP growth (annual %)"),"N/A")</f>
        <v>6.6250458075285188</v>
      </c>
      <c r="C10" s="2">
        <f>COUNTIFS(Table1!A:A,Analysis!A10,Table1!C:C,"GDP growth (annual %)",Table1!F:F,"&gt;5")</f>
        <v>12</v>
      </c>
    </row>
    <row r="11" spans="1:5" x14ac:dyDescent="0.3">
      <c r="A11" s="2" t="s">
        <v>9</v>
      </c>
      <c r="B11" s="2">
        <f>IFERROR(AVERAGEIFS(Table1!F:F,Table1!A:A,Analysis!A11,Table1!C:C,"GDP growth (annual %)"),"N/A")</f>
        <v>0.96429145854166354</v>
      </c>
      <c r="C11" s="2">
        <f>COUNTIFS(Table1!A:A,Analysis!A11,Table1!C:C,"GDP growth (annual %)",Table1!F:F,"&gt;5")</f>
        <v>0</v>
      </c>
    </row>
    <row r="12" spans="1:5" x14ac:dyDescent="0.3">
      <c r="A12" s="2" t="s">
        <v>102</v>
      </c>
      <c r="B12" s="2">
        <f>IFERROR(AVERAGEIFS(Table1!F:F,Table1!A:A,Analysis!A12,Table1!C:C,"GDP growth (annual %)"),"N/A")</f>
        <v>4.7684027362402919</v>
      </c>
      <c r="C12" s="2">
        <f>COUNTIFS(Table1!A:A,Analysis!A12,Table1!C:C,"GDP growth (annual %)",Table1!F:F,"&gt;5")</f>
        <v>13</v>
      </c>
    </row>
    <row r="13" spans="1:5" x14ac:dyDescent="0.3">
      <c r="A13" s="2" t="s">
        <v>98</v>
      </c>
      <c r="B13" s="2">
        <f>IFERROR(AVERAGEIFS(Table1!F:F,Table1!A:A,Analysis!A13,Table1!C:C,"GDP growth (annual %)"),"N/A")</f>
        <v>4.6379377213356126</v>
      </c>
      <c r="C13" s="2">
        <f>COUNTIFS(Table1!A:A,Analysis!A13,Table1!C:C,"GDP growth (annual %)",Table1!F:F,"&gt;5")</f>
        <v>9</v>
      </c>
    </row>
    <row r="14" spans="1:5" x14ac:dyDescent="0.3">
      <c r="A14" s="2" t="s">
        <v>149</v>
      </c>
      <c r="B14" s="2">
        <f>IFERROR(AVERAGEIFS(Table1!F:F,Table1!A:A,Analysis!A14,Table1!C:C,"GDP growth (annual %)"),"N/A")</f>
        <v>1.2619555263781939</v>
      </c>
      <c r="C14" s="2">
        <f>COUNTIFS(Table1!A:A,Analysis!A14,Table1!C:C,"GDP growth (annual %)",Table1!F:F,"&gt;5")</f>
        <v>0</v>
      </c>
    </row>
    <row r="15" spans="1:5" x14ac:dyDescent="0.3">
      <c r="A15" s="2" t="s">
        <v>21</v>
      </c>
      <c r="B15" s="2">
        <f>IFERROR(AVERAGEIFS(Table1!F:F,Table1!A:A,Analysis!A15,Table1!C:C,"GDP growth (annual %)"),"N/A")</f>
        <v>1.6301220103457137</v>
      </c>
      <c r="C15" s="2">
        <f>COUNTIFS(Table1!A:A,Analysis!A15,Table1!C:C,"GDP growth (annual %)",Table1!F:F,"&gt;5")</f>
        <v>2</v>
      </c>
    </row>
    <row r="16" spans="1:5" x14ac:dyDescent="0.3">
      <c r="A16" s="2" t="s">
        <v>94</v>
      </c>
      <c r="B16" s="2">
        <f>IFERROR(AVERAGEIFS(Table1!F:F,Table1!A:A,Analysis!A16,Table1!C:C,"GDP growth (annual %)"),"N/A")</f>
        <v>2.4029443785600435</v>
      </c>
      <c r="C16" s="2">
        <f>COUNTIFS(Table1!A:A,Analysis!A16,Table1!C:C,"GDP growth (annual %)",Table1!F:F,"&gt;5")</f>
        <v>1</v>
      </c>
    </row>
    <row r="17" spans="1:3" x14ac:dyDescent="0.3">
      <c r="A17" s="2" t="s">
        <v>116</v>
      </c>
      <c r="B17" s="2">
        <f>IFERROR(AVERAGEIFS(Table1!F:F,Table1!A:A,Analysis!A17,Table1!C:C,"GDP growth (annual %)"),"N/A")</f>
        <v>2.4080295002550001</v>
      </c>
      <c r="C17" s="2">
        <f>COUNTIFS(Table1!A:A,Analysis!A17,Table1!C:C,"GDP growth (annual %)",Table1!F:F,"&gt;5")</f>
        <v>0</v>
      </c>
    </row>
  </sheetData>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6AFF-B53F-45E4-A23C-FADEB2D55F0E}">
  <dimension ref="A1:V8"/>
  <sheetViews>
    <sheetView showGridLines="0" tabSelected="1" zoomScale="90" zoomScaleNormal="55" workbookViewId="0">
      <selection activeCell="G4" sqref="G4"/>
    </sheetView>
  </sheetViews>
  <sheetFormatPr defaultRowHeight="14.4" x14ac:dyDescent="0.3"/>
  <cols>
    <col min="1" max="20" width="8.88671875" style="14"/>
    <col min="21" max="21" width="17.6640625" style="14" customWidth="1"/>
    <col min="22" max="22" width="19.21875" style="14" customWidth="1"/>
    <col min="23" max="16384" width="8.88671875" style="13"/>
  </cols>
  <sheetData>
    <row r="1" spans="1:22" ht="56.4" customHeight="1" x14ac:dyDescent="0.8">
      <c r="A1" s="27" t="s">
        <v>195</v>
      </c>
      <c r="B1" s="27"/>
      <c r="C1" s="27"/>
      <c r="D1" s="27"/>
      <c r="E1" s="27"/>
      <c r="F1" s="27"/>
      <c r="G1" s="27"/>
      <c r="H1" s="27"/>
      <c r="I1" s="27"/>
      <c r="J1" s="27"/>
      <c r="K1" s="27"/>
      <c r="L1" s="27"/>
      <c r="M1" s="27"/>
      <c r="N1" s="27"/>
      <c r="O1" s="27"/>
      <c r="P1" s="27"/>
      <c r="Q1" s="27"/>
      <c r="R1" s="27"/>
    </row>
    <row r="2" spans="1:22" ht="22.8" customHeight="1" x14ac:dyDescent="0.3">
      <c r="B2" s="21" t="s">
        <v>200</v>
      </c>
      <c r="C2" s="22"/>
      <c r="D2" s="22"/>
      <c r="E2" s="22"/>
      <c r="F2" s="22"/>
      <c r="G2" s="22"/>
      <c r="H2" s="22"/>
      <c r="I2" s="22"/>
      <c r="J2" s="22"/>
      <c r="K2" s="22"/>
      <c r="L2" s="22"/>
      <c r="M2" s="22"/>
      <c r="N2" s="22"/>
      <c r="O2" s="22"/>
      <c r="P2" s="22"/>
      <c r="Q2" s="23"/>
    </row>
    <row r="3" spans="1:22" ht="12" customHeight="1" x14ac:dyDescent="0.5">
      <c r="B3" s="24"/>
      <c r="C3" s="25"/>
      <c r="D3" s="25"/>
      <c r="E3" s="25"/>
      <c r="F3" s="25"/>
      <c r="G3" s="25"/>
      <c r="H3" s="25"/>
      <c r="I3" s="25"/>
      <c r="J3" s="25"/>
      <c r="K3" s="25"/>
      <c r="L3" s="25"/>
      <c r="M3" s="25"/>
      <c r="N3" s="25"/>
      <c r="O3" s="25"/>
      <c r="P3" s="25"/>
      <c r="Q3" s="26"/>
      <c r="U3" s="15" t="s">
        <v>196</v>
      </c>
      <c r="V3" s="16">
        <v>10</v>
      </c>
    </row>
    <row r="4" spans="1:22" ht="25.8" x14ac:dyDescent="0.5">
      <c r="U4" s="15" t="s">
        <v>197</v>
      </c>
      <c r="V4" s="17" t="s">
        <v>198</v>
      </c>
    </row>
    <row r="5" spans="1:22" ht="25.8" x14ac:dyDescent="0.5">
      <c r="U5" s="15" t="s">
        <v>199</v>
      </c>
      <c r="V5" s="16">
        <v>10</v>
      </c>
    </row>
    <row r="8" spans="1:22" ht="18" customHeight="1" x14ac:dyDescent="0.3">
      <c r="U8" s="20" t="s">
        <v>201</v>
      </c>
      <c r="V8" s="20"/>
    </row>
  </sheetData>
  <mergeCells count="3">
    <mergeCell ref="B2:Q3"/>
    <mergeCell ref="U8:V8"/>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D542B4-9AC5-4819-9D50-E771547CDD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Series - Metadata</vt:lpstr>
      <vt:lpstr>Table1</vt:lpstr>
      <vt:lpstr>PIVOTS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Javeria Talpur</dc:creator>
  <cp:lastModifiedBy>Javeria Talpur</cp:lastModifiedBy>
  <dcterms:created xsi:type="dcterms:W3CDTF">2026-10-02T11:44:11Z</dcterms:created>
  <dcterms:modified xsi:type="dcterms:W3CDTF">2026-10-02T18:28:24Z</dcterms:modified>
</cp:coreProperties>
</file>